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fem2019-1\"/>
    </mc:Choice>
  </mc:AlternateContent>
  <bookViews>
    <workbookView xWindow="0" yWindow="0" windowWidth="20490" windowHeight="7620" activeTab="3"/>
  </bookViews>
  <sheets>
    <sheet name="Nodes" sheetId="1" r:id="rId1"/>
    <sheet name="Elements" sheetId="2" r:id="rId2"/>
    <sheet name="Ke" sheetId="3" r:id="rId3"/>
    <sheet name="Ks" sheetId="4" r:id="rId4"/>
    <sheet name="Sheet1" sheetId="5" r:id="rId5"/>
  </sheets>
  <definedNames>
    <definedName name="code">Ke!$D$15:$G$15</definedName>
    <definedName name="disp">Ks!$N$2:$O$13</definedName>
    <definedName name="el_count">Ke!$B$2</definedName>
    <definedName name="el_id">Ke!$B$1</definedName>
    <definedName name="elements">Elements!$A:$K</definedName>
    <definedName name="KElement">Ke!$D$16:$G$19</definedName>
    <definedName name="KSystem">Ks!$B$2:$M$13</definedName>
    <definedName name="nodes">Nodes!$A:$I</definedName>
    <definedName name="qElement">Ke!$H$8:$H$9</definedName>
    <definedName name="qSystem">Ks!#REF!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O2" i="4" a="1"/>
  <c r="O5" i="4" s="1"/>
  <c r="G15" i="3"/>
  <c r="C19" i="3" s="1"/>
  <c r="F15" i="3"/>
  <c r="C18" i="3" s="1"/>
  <c r="E15" i="3"/>
  <c r="C17" i="3" s="1"/>
  <c r="D15" i="3"/>
  <c r="C16" i="3" s="1"/>
  <c r="O8" i="4" l="1"/>
  <c r="O4" i="4"/>
  <c r="O7" i="4"/>
  <c r="O3" i="4"/>
  <c r="O6" i="4"/>
  <c r="O2" i="4"/>
  <c r="O9" i="4"/>
  <c r="H3" i="2"/>
  <c r="I3" i="2"/>
  <c r="J3" i="2"/>
  <c r="K3" i="2"/>
  <c r="H4" i="2"/>
  <c r="I4" i="2"/>
  <c r="J4" i="2"/>
  <c r="K4" i="2"/>
  <c r="H5" i="2"/>
  <c r="I5" i="2"/>
  <c r="J5" i="2"/>
  <c r="K5" i="2"/>
  <c r="H6" i="2"/>
  <c r="I6" i="2"/>
  <c r="J6" i="2"/>
  <c r="K6" i="2"/>
  <c r="H7" i="2"/>
  <c r="I7" i="2"/>
  <c r="J7" i="2"/>
  <c r="K7" i="2"/>
  <c r="H8" i="2"/>
  <c r="I8" i="2"/>
  <c r="J8" i="2"/>
  <c r="K8" i="2"/>
  <c r="H9" i="2"/>
  <c r="I9" i="2"/>
  <c r="J9" i="2"/>
  <c r="K9" i="2"/>
  <c r="H10" i="2"/>
  <c r="I10" i="2"/>
  <c r="J10" i="2"/>
  <c r="K10" i="2"/>
  <c r="K2" i="2"/>
  <c r="J2" i="2"/>
  <c r="I2" i="2"/>
  <c r="H2" i="2"/>
  <c r="G6" i="2"/>
  <c r="G7" i="2"/>
  <c r="G8" i="2"/>
  <c r="G9" i="2"/>
  <c r="G10" i="2"/>
  <c r="G3" i="2"/>
  <c r="G4" i="2"/>
  <c r="G5" i="2"/>
  <c r="F3" i="2"/>
  <c r="F4" i="2"/>
  <c r="F5" i="2"/>
  <c r="F6" i="2"/>
  <c r="F7" i="2"/>
  <c r="F8" i="2"/>
  <c r="F9" i="2"/>
  <c r="F10" i="2"/>
  <c r="F2" i="2"/>
  <c r="B5" i="3" s="1"/>
  <c r="E3" i="2"/>
  <c r="E4" i="2"/>
  <c r="E5" i="2"/>
  <c r="E6" i="2"/>
  <c r="E7" i="2"/>
  <c r="E8" i="2"/>
  <c r="E9" i="2"/>
  <c r="E10" i="2"/>
  <c r="E2" i="2"/>
  <c r="B4" i="3" s="1"/>
  <c r="H18" i="3" l="1"/>
  <c r="H16" i="3"/>
  <c r="H19" i="3"/>
  <c r="H17" i="3"/>
  <c r="P10" i="4" a="1"/>
  <c r="P11" i="4" s="1"/>
  <c r="G2" i="2"/>
  <c r="B6" i="3" s="1"/>
  <c r="B7" i="3" s="1"/>
  <c r="D2" i="3" s="1"/>
  <c r="P13" i="4" l="1"/>
  <c r="P12" i="4"/>
  <c r="P10" i="4"/>
  <c r="E3" i="3"/>
  <c r="G5" i="3" s="1"/>
  <c r="F4" i="3"/>
  <c r="B8" i="3"/>
  <c r="E2" i="3" s="1"/>
  <c r="B3" i="3"/>
  <c r="D8" i="3" s="1"/>
  <c r="F10" i="3" l="1"/>
  <c r="F8" i="3"/>
  <c r="D10" i="3" s="1"/>
  <c r="D3" i="3"/>
  <c r="G4" i="3"/>
  <c r="F5" i="3" l="1"/>
  <c r="D16" i="3" s="1" a="1"/>
  <c r="H8" i="3" l="1" a="1"/>
  <c r="D16" i="3"/>
  <c r="F16" i="3"/>
  <c r="G19" i="3"/>
  <c r="F19" i="3"/>
  <c r="E18" i="3"/>
  <c r="D19" i="3"/>
  <c r="G18" i="3"/>
  <c r="F18" i="3"/>
  <c r="E17" i="3"/>
  <c r="D18" i="3"/>
  <c r="G17" i="3"/>
  <c r="F17" i="3"/>
  <c r="E16" i="3"/>
  <c r="D17" i="3"/>
  <c r="G16" i="3"/>
  <c r="E19" i="3"/>
  <c r="H9" i="3" l="1"/>
  <c r="H10" i="3"/>
  <c r="H8" i="3"/>
  <c r="H11" i="3"/>
  <c r="K8" i="3" l="1" a="1"/>
  <c r="K9" i="3" s="1"/>
  <c r="K8" i="3" l="1"/>
  <c r="K11" i="3"/>
  <c r="K10" i="3"/>
</calcChain>
</file>

<file path=xl/sharedStrings.xml><?xml version="1.0" encoding="utf-8"?>
<sst xmlns="http://schemas.openxmlformats.org/spreadsheetml/2006/main" count="37" uniqueCount="32">
  <si>
    <t>ID</t>
  </si>
  <si>
    <t>X</t>
  </si>
  <si>
    <t>rx</t>
  </si>
  <si>
    <t>ux</t>
  </si>
  <si>
    <t>Px</t>
  </si>
  <si>
    <t>na</t>
  </si>
  <si>
    <t>nb</t>
  </si>
  <si>
    <t>EA</t>
  </si>
  <si>
    <t>L</t>
  </si>
  <si>
    <t>c1</t>
  </si>
  <si>
    <t>c2</t>
  </si>
  <si>
    <t>EL_ID:</t>
  </si>
  <si>
    <t>P</t>
  </si>
  <si>
    <t>EL_COUNT</t>
  </si>
  <si>
    <t>Y</t>
  </si>
  <si>
    <t>ry</t>
  </si>
  <si>
    <t>uy</t>
  </si>
  <si>
    <t>Py</t>
  </si>
  <si>
    <t>P9</t>
  </si>
  <si>
    <t>P10</t>
  </si>
  <si>
    <t>P11</t>
  </si>
  <si>
    <t>P12=?</t>
  </si>
  <si>
    <t>Lx</t>
  </si>
  <si>
    <t>Ly</t>
  </si>
  <si>
    <t>c3</t>
  </si>
  <si>
    <t>c4</t>
  </si>
  <si>
    <t>C_teta</t>
  </si>
  <si>
    <t>S_teta</t>
  </si>
  <si>
    <t>T</t>
  </si>
  <si>
    <t>Klocal</t>
  </si>
  <si>
    <t>Kglob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</si>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</sst>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0" fillId="0" borderId="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7" xfId="0" applyBorder="1"/>
    <xf numFmtId="0" fontId="0" fillId="0" borderId="8" xfId="0" quotePrefix="1" applyBorder="1"/>
    <xf numFmtId="0" fontId="0" fillId="0" borderId="8" xfId="0" applyBorder="1"/>
    <xf numFmtId="0" fontId="0" fillId="0" borderId="3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1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16</xdr:row>
          <xdr:rowOff>47625</xdr:rowOff>
        </xdr:from>
        <xdr:to>
          <xdr:col>8</xdr:col>
          <xdr:colOff>19050</xdr:colOff>
          <xdr:row>17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zoomScale="190" zoomScaleNormal="190" workbookViewId="0">
      <selection activeCell="G2" sqref="G2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1</v>
      </c>
      <c r="C1" s="2" t="s">
        <v>14</v>
      </c>
      <c r="D1" s="2" t="s">
        <v>2</v>
      </c>
      <c r="E1" s="2" t="s">
        <v>15</v>
      </c>
      <c r="F1" s="2" t="s">
        <v>3</v>
      </c>
      <c r="G1" s="2" t="s">
        <v>16</v>
      </c>
      <c r="H1" s="2" t="s">
        <v>4</v>
      </c>
      <c r="I1" s="2" t="s">
        <v>17</v>
      </c>
    </row>
    <row r="2" spans="1:9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F2" s="1">
        <v>9</v>
      </c>
      <c r="G2" s="1">
        <v>10</v>
      </c>
      <c r="H2" s="1" t="s">
        <v>18</v>
      </c>
      <c r="I2" s="1" t="s">
        <v>19</v>
      </c>
    </row>
    <row r="3" spans="1:9" x14ac:dyDescent="0.25">
      <c r="A3" s="1">
        <v>2</v>
      </c>
      <c r="B3" s="1">
        <v>2</v>
      </c>
      <c r="C3" s="1">
        <v>0</v>
      </c>
      <c r="D3" s="1">
        <v>0</v>
      </c>
      <c r="E3" s="1">
        <v>0</v>
      </c>
      <c r="F3" s="1">
        <v>1</v>
      </c>
      <c r="G3" s="1">
        <v>2</v>
      </c>
      <c r="H3" s="1">
        <v>0</v>
      </c>
      <c r="I3" s="1">
        <v>-5</v>
      </c>
    </row>
    <row r="4" spans="1:9" x14ac:dyDescent="0.25">
      <c r="A4" s="1">
        <v>3</v>
      </c>
      <c r="B4" s="1">
        <v>4</v>
      </c>
      <c r="C4" s="1">
        <v>0</v>
      </c>
      <c r="D4" s="1">
        <v>1</v>
      </c>
      <c r="E4" s="1">
        <v>1</v>
      </c>
      <c r="F4" s="1">
        <v>11</v>
      </c>
      <c r="G4" s="1">
        <v>12</v>
      </c>
      <c r="H4" s="1" t="s">
        <v>20</v>
      </c>
      <c r="I4" s="1" t="s">
        <v>21</v>
      </c>
    </row>
    <row r="5" spans="1:9" x14ac:dyDescent="0.25">
      <c r="A5" s="1">
        <v>4</v>
      </c>
      <c r="B5" s="1">
        <v>1</v>
      </c>
      <c r="C5" s="1">
        <v>1.5</v>
      </c>
      <c r="D5" s="1">
        <v>0</v>
      </c>
      <c r="E5" s="1">
        <v>0</v>
      </c>
      <c r="F5" s="1">
        <v>3</v>
      </c>
      <c r="G5" s="1">
        <v>4</v>
      </c>
      <c r="H5" s="1">
        <v>30</v>
      </c>
      <c r="I5" s="1">
        <v>-10</v>
      </c>
    </row>
    <row r="6" spans="1:9" x14ac:dyDescent="0.25">
      <c r="A6" s="1">
        <v>5</v>
      </c>
      <c r="B6" s="1">
        <v>3</v>
      </c>
      <c r="C6" s="1">
        <v>1.5</v>
      </c>
      <c r="D6" s="1">
        <v>0</v>
      </c>
      <c r="E6" s="1">
        <v>0</v>
      </c>
      <c r="F6" s="1">
        <v>5</v>
      </c>
      <c r="G6" s="1">
        <v>6</v>
      </c>
      <c r="H6" s="1">
        <v>0</v>
      </c>
      <c r="I6" s="1">
        <v>-20</v>
      </c>
    </row>
    <row r="7" spans="1:9" x14ac:dyDescent="0.25">
      <c r="A7" s="1">
        <v>6</v>
      </c>
      <c r="B7" s="1">
        <v>5</v>
      </c>
      <c r="C7" s="1">
        <v>1.5</v>
      </c>
      <c r="D7" s="1">
        <v>0</v>
      </c>
      <c r="E7" s="1">
        <v>0</v>
      </c>
      <c r="F7" s="1">
        <v>7</v>
      </c>
      <c r="G7" s="1">
        <v>8</v>
      </c>
      <c r="H7" s="1">
        <v>0</v>
      </c>
      <c r="I7" s="1">
        <v>-10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zoomScale="220" zoomScaleNormal="220" workbookViewId="0">
      <selection activeCell="H2" sqref="H2"/>
    </sheetView>
  </sheetViews>
  <sheetFormatPr defaultRowHeight="15" x14ac:dyDescent="0.25"/>
  <cols>
    <col min="1" max="3" width="6.28515625" style="4" customWidth="1"/>
    <col min="4" max="6" width="8.140625" style="4" customWidth="1"/>
    <col min="7" max="9" width="6.28515625" style="4" customWidth="1"/>
    <col min="10" max="16384" width="9.140625" style="4"/>
  </cols>
  <sheetData>
    <row r="1" spans="1:11" s="2" customFormat="1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22</v>
      </c>
      <c r="F1" s="2" t="s">
        <v>23</v>
      </c>
      <c r="G1" s="2" t="s">
        <v>8</v>
      </c>
      <c r="H1" s="2" t="s">
        <v>9</v>
      </c>
      <c r="I1" s="2" t="s">
        <v>10</v>
      </c>
      <c r="J1" s="2" t="s">
        <v>24</v>
      </c>
      <c r="K1" s="2" t="s">
        <v>25</v>
      </c>
    </row>
    <row r="2" spans="1:11" x14ac:dyDescent="0.25">
      <c r="A2" s="4">
        <v>1</v>
      </c>
      <c r="B2" s="4">
        <v>1</v>
      </c>
      <c r="C2" s="4">
        <v>2</v>
      </c>
      <c r="D2" s="4">
        <v>2000</v>
      </c>
      <c r="E2" s="4">
        <f t="shared" ref="E2:E10" si="0">VLOOKUP(C2,nodes,2,FALSE)-VLOOKUP(B2,nodes,2,FALSE)</f>
        <v>2</v>
      </c>
      <c r="F2" s="4">
        <f t="shared" ref="F2:F10" si="1">VLOOKUP(C2,nodes,3,FALSE)-VLOOKUP(B2,nodes,3,FALSE)</f>
        <v>0</v>
      </c>
      <c r="G2" s="4">
        <f>SQRT(E2^2+F2^2)</f>
        <v>2</v>
      </c>
      <c r="H2" s="4">
        <f t="shared" ref="H2:H10" si="2">VLOOKUP(B2,nodes,6,FALSE)</f>
        <v>9</v>
      </c>
      <c r="I2" s="4">
        <f t="shared" ref="I2:I10" si="3">VLOOKUP(B2,nodes,7,FALSE)</f>
        <v>10</v>
      </c>
      <c r="J2" s="4">
        <f t="shared" ref="J2:J10" si="4">VLOOKUP(C2,nodes,6,FALSE)</f>
        <v>1</v>
      </c>
      <c r="K2" s="4">
        <f t="shared" ref="K2:K10" si="5">VLOOKUP(C2,nodes,7,FALSE)</f>
        <v>2</v>
      </c>
    </row>
    <row r="3" spans="1:11" x14ac:dyDescent="0.25">
      <c r="A3" s="4">
        <v>2</v>
      </c>
      <c r="B3" s="4">
        <v>2</v>
      </c>
      <c r="C3" s="4">
        <v>3</v>
      </c>
      <c r="D3" s="4">
        <v>2000</v>
      </c>
      <c r="E3" s="4">
        <f t="shared" si="0"/>
        <v>2</v>
      </c>
      <c r="F3" s="4">
        <f t="shared" si="1"/>
        <v>0</v>
      </c>
      <c r="G3" s="4">
        <f t="shared" ref="G3:G10" si="6">SQRT(E3^2+F3^2)</f>
        <v>2</v>
      </c>
      <c r="H3" s="4">
        <f t="shared" si="2"/>
        <v>1</v>
      </c>
      <c r="I3" s="4">
        <f t="shared" si="3"/>
        <v>2</v>
      </c>
      <c r="J3" s="4">
        <f t="shared" si="4"/>
        <v>11</v>
      </c>
      <c r="K3" s="4">
        <f t="shared" si="5"/>
        <v>12</v>
      </c>
    </row>
    <row r="4" spans="1:11" x14ac:dyDescent="0.25">
      <c r="A4" s="4">
        <v>3</v>
      </c>
      <c r="B4" s="4">
        <v>1</v>
      </c>
      <c r="C4" s="4">
        <v>4</v>
      </c>
      <c r="D4" s="4">
        <v>2000</v>
      </c>
      <c r="E4" s="4">
        <f t="shared" si="0"/>
        <v>1</v>
      </c>
      <c r="F4" s="4">
        <f t="shared" si="1"/>
        <v>1.5</v>
      </c>
      <c r="G4" s="4">
        <f t="shared" si="6"/>
        <v>1.8027756377319946</v>
      </c>
      <c r="H4" s="4">
        <f t="shared" si="2"/>
        <v>9</v>
      </c>
      <c r="I4" s="4">
        <f t="shared" si="3"/>
        <v>10</v>
      </c>
      <c r="J4" s="4">
        <f t="shared" si="4"/>
        <v>3</v>
      </c>
      <c r="K4" s="4">
        <f t="shared" si="5"/>
        <v>4</v>
      </c>
    </row>
    <row r="5" spans="1:11" x14ac:dyDescent="0.25">
      <c r="A5" s="4">
        <v>4</v>
      </c>
      <c r="B5" s="4">
        <v>4</v>
      </c>
      <c r="C5" s="4">
        <v>2</v>
      </c>
      <c r="D5" s="4">
        <v>2000</v>
      </c>
      <c r="E5" s="4">
        <f t="shared" si="0"/>
        <v>1</v>
      </c>
      <c r="F5" s="4">
        <f t="shared" si="1"/>
        <v>-1.5</v>
      </c>
      <c r="G5" s="4">
        <f t="shared" si="6"/>
        <v>1.8027756377319946</v>
      </c>
      <c r="H5" s="4">
        <f t="shared" si="2"/>
        <v>3</v>
      </c>
      <c r="I5" s="4">
        <f t="shared" si="3"/>
        <v>4</v>
      </c>
      <c r="J5" s="4">
        <f t="shared" si="4"/>
        <v>1</v>
      </c>
      <c r="K5" s="4">
        <f t="shared" si="5"/>
        <v>2</v>
      </c>
    </row>
    <row r="6" spans="1:11" x14ac:dyDescent="0.25">
      <c r="A6" s="4">
        <v>5</v>
      </c>
      <c r="B6" s="4">
        <v>2</v>
      </c>
      <c r="C6" s="4">
        <v>5</v>
      </c>
      <c r="D6" s="4">
        <v>2000</v>
      </c>
      <c r="E6" s="4">
        <f t="shared" si="0"/>
        <v>1</v>
      </c>
      <c r="F6" s="4">
        <f t="shared" si="1"/>
        <v>1.5</v>
      </c>
      <c r="G6" s="4">
        <f t="shared" si="6"/>
        <v>1.8027756377319946</v>
      </c>
      <c r="H6" s="4">
        <f t="shared" si="2"/>
        <v>1</v>
      </c>
      <c r="I6" s="4">
        <f t="shared" si="3"/>
        <v>2</v>
      </c>
      <c r="J6" s="4">
        <f t="shared" si="4"/>
        <v>5</v>
      </c>
      <c r="K6" s="4">
        <f t="shared" si="5"/>
        <v>6</v>
      </c>
    </row>
    <row r="7" spans="1:11" x14ac:dyDescent="0.25">
      <c r="A7" s="4">
        <v>6</v>
      </c>
      <c r="B7" s="4">
        <v>5</v>
      </c>
      <c r="C7" s="4">
        <v>3</v>
      </c>
      <c r="D7" s="4">
        <v>2000</v>
      </c>
      <c r="E7" s="4">
        <f t="shared" si="0"/>
        <v>1</v>
      </c>
      <c r="F7" s="4">
        <f t="shared" si="1"/>
        <v>-1.5</v>
      </c>
      <c r="G7" s="4">
        <f t="shared" si="6"/>
        <v>1.8027756377319946</v>
      </c>
      <c r="H7" s="4">
        <f t="shared" si="2"/>
        <v>5</v>
      </c>
      <c r="I7" s="4">
        <f t="shared" si="3"/>
        <v>6</v>
      </c>
      <c r="J7" s="4">
        <f t="shared" si="4"/>
        <v>11</v>
      </c>
      <c r="K7" s="4">
        <f t="shared" si="5"/>
        <v>12</v>
      </c>
    </row>
    <row r="8" spans="1:11" x14ac:dyDescent="0.25">
      <c r="A8" s="4">
        <v>7</v>
      </c>
      <c r="B8" s="4">
        <v>3</v>
      </c>
      <c r="C8" s="4">
        <v>6</v>
      </c>
      <c r="D8" s="4">
        <v>2000</v>
      </c>
      <c r="E8" s="4">
        <f t="shared" si="0"/>
        <v>1</v>
      </c>
      <c r="F8" s="4">
        <f t="shared" si="1"/>
        <v>1.5</v>
      </c>
      <c r="G8" s="4">
        <f t="shared" si="6"/>
        <v>1.8027756377319946</v>
      </c>
      <c r="H8" s="4">
        <f t="shared" si="2"/>
        <v>11</v>
      </c>
      <c r="I8" s="4">
        <f t="shared" si="3"/>
        <v>12</v>
      </c>
      <c r="J8" s="4">
        <f t="shared" si="4"/>
        <v>7</v>
      </c>
      <c r="K8" s="4">
        <f t="shared" si="5"/>
        <v>8</v>
      </c>
    </row>
    <row r="9" spans="1:11" x14ac:dyDescent="0.25">
      <c r="A9" s="4">
        <v>8</v>
      </c>
      <c r="B9" s="4">
        <v>4</v>
      </c>
      <c r="C9" s="4">
        <v>5</v>
      </c>
      <c r="D9" s="4">
        <v>2000</v>
      </c>
      <c r="E9" s="4">
        <f t="shared" si="0"/>
        <v>2</v>
      </c>
      <c r="F9" s="4">
        <f t="shared" si="1"/>
        <v>0</v>
      </c>
      <c r="G9" s="4">
        <f t="shared" si="6"/>
        <v>2</v>
      </c>
      <c r="H9" s="4">
        <f t="shared" si="2"/>
        <v>3</v>
      </c>
      <c r="I9" s="4">
        <f t="shared" si="3"/>
        <v>4</v>
      </c>
      <c r="J9" s="4">
        <f t="shared" si="4"/>
        <v>5</v>
      </c>
      <c r="K9" s="4">
        <f t="shared" si="5"/>
        <v>6</v>
      </c>
    </row>
    <row r="10" spans="1:11" x14ac:dyDescent="0.25">
      <c r="A10" s="4">
        <v>9</v>
      </c>
      <c r="B10" s="4">
        <v>5</v>
      </c>
      <c r="C10" s="4">
        <v>6</v>
      </c>
      <c r="D10" s="4">
        <v>2000</v>
      </c>
      <c r="E10" s="4">
        <f t="shared" si="0"/>
        <v>2</v>
      </c>
      <c r="F10" s="4">
        <f t="shared" si="1"/>
        <v>0</v>
      </c>
      <c r="G10" s="4">
        <f t="shared" si="6"/>
        <v>2</v>
      </c>
      <c r="H10" s="4">
        <f t="shared" si="2"/>
        <v>5</v>
      </c>
      <c r="I10" s="4">
        <f t="shared" si="3"/>
        <v>6</v>
      </c>
      <c r="J10" s="4">
        <f t="shared" si="4"/>
        <v>7</v>
      </c>
      <c r="K10" s="4">
        <f t="shared" si="5"/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zoomScale="130" zoomScaleNormal="130" workbookViewId="0">
      <selection activeCell="H12" sqref="H12"/>
    </sheetView>
  </sheetViews>
  <sheetFormatPr defaultRowHeight="15" x14ac:dyDescent="0.25"/>
  <cols>
    <col min="1" max="1" width="10.28515625" bestFit="1" customWidth="1"/>
    <col min="3" max="6" width="9.140625" style="15"/>
    <col min="7" max="7" width="11.28515625" style="15" customWidth="1"/>
    <col min="8" max="8" width="13.7109375" style="15" bestFit="1" customWidth="1"/>
    <col min="9" max="9" width="4.7109375" style="15" customWidth="1"/>
    <col min="10" max="10" width="5" style="15" customWidth="1"/>
  </cols>
  <sheetData>
    <row r="1" spans="1:11" ht="15.75" thickBot="1" x14ac:dyDescent="0.3">
      <c r="A1" s="3" t="s">
        <v>11</v>
      </c>
      <c r="B1">
        <v>9</v>
      </c>
      <c r="E1" s="15" t="s">
        <v>28</v>
      </c>
    </row>
    <row r="2" spans="1:11" x14ac:dyDescent="0.25">
      <c r="A2" s="3" t="s">
        <v>13</v>
      </c>
      <c r="B2">
        <f>COUNT(Elements!A:A)</f>
        <v>9</v>
      </c>
      <c r="D2" s="16">
        <f>B7</f>
        <v>1</v>
      </c>
      <c r="E2" s="17">
        <f>B8</f>
        <v>0</v>
      </c>
      <c r="F2" s="17">
        <v>0</v>
      </c>
      <c r="G2" s="5">
        <v>0</v>
      </c>
    </row>
    <row r="3" spans="1:11" x14ac:dyDescent="0.25">
      <c r="A3" t="s">
        <v>7</v>
      </c>
      <c r="B3">
        <f>VLOOKUP(B1,elements,4,FALSE)</f>
        <v>2000</v>
      </c>
      <c r="D3" s="18">
        <f>-E2</f>
        <v>0</v>
      </c>
      <c r="E3" s="15">
        <f>D2</f>
        <v>1</v>
      </c>
      <c r="F3" s="15">
        <v>0</v>
      </c>
      <c r="G3" s="10">
        <v>0</v>
      </c>
    </row>
    <row r="4" spans="1:11" x14ac:dyDescent="0.25">
      <c r="A4" t="s">
        <v>22</v>
      </c>
      <c r="B4">
        <f>VLOOKUP(el_id,elements,5,FALSE)</f>
        <v>2</v>
      </c>
      <c r="D4" s="19">
        <v>0</v>
      </c>
      <c r="E4" s="15">
        <v>0</v>
      </c>
      <c r="F4" s="15">
        <f>D2</f>
        <v>1</v>
      </c>
      <c r="G4" s="10">
        <f>E2</f>
        <v>0</v>
      </c>
    </row>
    <row r="5" spans="1:11" ht="15.75" thickBot="1" x14ac:dyDescent="0.3">
      <c r="A5" t="s">
        <v>23</v>
      </c>
      <c r="B5">
        <f>VLOOKUP(el_id,elements,6,FALSE)</f>
        <v>0</v>
      </c>
      <c r="D5" s="20">
        <v>0</v>
      </c>
      <c r="E5" s="21">
        <v>0</v>
      </c>
      <c r="F5" s="21">
        <f>D3</f>
        <v>0</v>
      </c>
      <c r="G5" s="6">
        <f>E3</f>
        <v>1</v>
      </c>
    </row>
    <row r="6" spans="1:11" x14ac:dyDescent="0.25">
      <c r="A6" t="s">
        <v>8</v>
      </c>
      <c r="B6">
        <f>VLOOKUP(el_id,elements,7,FALSE)</f>
        <v>2</v>
      </c>
    </row>
    <row r="7" spans="1:11" ht="15.75" thickBot="1" x14ac:dyDescent="0.3">
      <c r="A7" t="s">
        <v>26</v>
      </c>
      <c r="B7">
        <f>B4/B6</f>
        <v>1</v>
      </c>
      <c r="C7" s="14"/>
      <c r="D7" s="14"/>
      <c r="E7" s="14" t="s">
        <v>29</v>
      </c>
      <c r="F7" s="14"/>
      <c r="H7" s="14"/>
      <c r="I7" s="14"/>
      <c r="J7" s="14"/>
    </row>
    <row r="8" spans="1:11" x14ac:dyDescent="0.25">
      <c r="A8" t="s">
        <v>27</v>
      </c>
      <c r="B8">
        <f>B5/B6</f>
        <v>0</v>
      </c>
      <c r="C8" s="14"/>
      <c r="D8" s="7">
        <f>B3/B6</f>
        <v>1000</v>
      </c>
      <c r="E8" s="22">
        <v>0</v>
      </c>
      <c r="F8" s="22">
        <f>-D8</f>
        <v>-1000</v>
      </c>
      <c r="G8" s="5">
        <v>0</v>
      </c>
      <c r="H8" s="15">
        <f t="array" ref="H8:H11">MMULT(D2:G5,H16:H19)</f>
        <v>1.8103845437049512E-2</v>
      </c>
      <c r="K8">
        <f t="array" ref="K8:K11">MMULT(D8:G11,H8:H11)</f>
        <v>-6.6666666666666643</v>
      </c>
    </row>
    <row r="9" spans="1:11" x14ac:dyDescent="0.25">
      <c r="C9" s="14"/>
      <c r="D9" s="13">
        <v>0</v>
      </c>
      <c r="E9" s="14">
        <v>0</v>
      </c>
      <c r="F9" s="14">
        <v>0</v>
      </c>
      <c r="G9" s="10">
        <v>0</v>
      </c>
      <c r="H9" s="15">
        <v>-3.1873425878351021E-2</v>
      </c>
      <c r="K9">
        <v>0</v>
      </c>
    </row>
    <row r="10" spans="1:11" x14ac:dyDescent="0.25">
      <c r="D10" s="19">
        <f>F8</f>
        <v>-1000</v>
      </c>
      <c r="E10" s="12">
        <v>0</v>
      </c>
      <c r="F10" s="15">
        <f>D8</f>
        <v>1000</v>
      </c>
      <c r="G10" s="10">
        <v>0</v>
      </c>
      <c r="H10" s="15">
        <v>2.4770512103716176E-2</v>
      </c>
      <c r="K10">
        <v>6.6666666666666643</v>
      </c>
    </row>
    <row r="11" spans="1:11" ht="15.75" thickBot="1" x14ac:dyDescent="0.3">
      <c r="D11" s="20">
        <v>0</v>
      </c>
      <c r="E11" s="21">
        <v>0</v>
      </c>
      <c r="F11" s="21">
        <v>0</v>
      </c>
      <c r="G11" s="6">
        <v>0</v>
      </c>
      <c r="H11" s="15">
        <v>-2.9533721008319636E-2</v>
      </c>
      <c r="K11">
        <v>0</v>
      </c>
    </row>
    <row r="14" spans="1:11" ht="15.75" thickBot="1" x14ac:dyDescent="0.3">
      <c r="E14" s="15" t="s">
        <v>30</v>
      </c>
    </row>
    <row r="15" spans="1:11" ht="15.75" thickBot="1" x14ac:dyDescent="0.3">
      <c r="D15" s="23">
        <f>VLOOKUP(el_id,elements,8,FALSE)</f>
        <v>5</v>
      </c>
      <c r="E15" s="24">
        <f>VLOOKUP(el_id,elements,9,FALSE)</f>
        <v>6</v>
      </c>
      <c r="F15" s="24">
        <f>VLOOKUP(el_id,elements,10,FALSE)</f>
        <v>7</v>
      </c>
      <c r="G15" s="25">
        <f>VLOOKUP(el_id,elements,11,FALSE)</f>
        <v>8</v>
      </c>
    </row>
    <row r="16" spans="1:11" x14ac:dyDescent="0.25">
      <c r="C16" s="8">
        <f>D15</f>
        <v>5</v>
      </c>
      <c r="D16" s="16">
        <f t="array" ref="D16:G19">MMULT(MINVERSE(D2:G5),MMULT(D8:G11,D2:G5))</f>
        <v>1000</v>
      </c>
      <c r="E16" s="17">
        <v>0</v>
      </c>
      <c r="F16" s="17">
        <v>-1000</v>
      </c>
      <c r="G16" s="5">
        <v>0</v>
      </c>
      <c r="H16" s="15">
        <f>VLOOKUP(C16,disp,2,FALSE)</f>
        <v>1.8103845437049512E-2</v>
      </c>
    </row>
    <row r="17" spans="3:8" x14ac:dyDescent="0.25">
      <c r="C17" s="11">
        <f>E15</f>
        <v>6</v>
      </c>
      <c r="D17" s="19">
        <v>0</v>
      </c>
      <c r="E17" s="15">
        <v>0</v>
      </c>
      <c r="F17" s="15">
        <v>0</v>
      </c>
      <c r="G17" s="10">
        <v>0</v>
      </c>
      <c r="H17" s="15">
        <f>VLOOKUP(C17,disp,2,FALSE)</f>
        <v>-3.1873425878351021E-2</v>
      </c>
    </row>
    <row r="18" spans="3:8" x14ac:dyDescent="0.25">
      <c r="C18" s="11">
        <f>F15</f>
        <v>7</v>
      </c>
      <c r="D18" s="19">
        <v>-1000</v>
      </c>
      <c r="E18" s="15">
        <v>0</v>
      </c>
      <c r="F18" s="15">
        <v>1000</v>
      </c>
      <c r="G18" s="10">
        <v>0</v>
      </c>
      <c r="H18" s="15">
        <f>VLOOKUP(C18,disp,2,FALSE)</f>
        <v>2.4770512103716176E-2</v>
      </c>
    </row>
    <row r="19" spans="3:8" ht="15.75" thickBot="1" x14ac:dyDescent="0.3">
      <c r="C19" s="9">
        <f>G15</f>
        <v>8</v>
      </c>
      <c r="D19" s="20">
        <v>0</v>
      </c>
      <c r="E19" s="21">
        <v>0</v>
      </c>
      <c r="F19" s="21">
        <v>0</v>
      </c>
      <c r="G19" s="6">
        <v>0</v>
      </c>
      <c r="H19" s="15">
        <f>VLOOKUP(C19,disp,2,FALSE)</f>
        <v>-2.9533721008319636E-2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3"/>
  <sheetViews>
    <sheetView tabSelected="1" topLeftCell="B1" zoomScale="130" zoomScaleNormal="130" workbookViewId="0">
      <selection activeCell="M16" sqref="M16"/>
    </sheetView>
  </sheetViews>
  <sheetFormatPr defaultRowHeight="15" x14ac:dyDescent="0.25"/>
  <cols>
    <col min="15" max="16" width="9.140625" style="1"/>
  </cols>
  <sheetData>
    <row r="1" spans="1:16" ht="15.75" thickBot="1" x14ac:dyDescent="0.3">
      <c r="A1">
        <v>1000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O1" s="1" t="s">
        <v>31</v>
      </c>
      <c r="P1" s="1" t="s">
        <v>12</v>
      </c>
    </row>
    <row r="2" spans="1:16" x14ac:dyDescent="0.25">
      <c r="A2">
        <v>1</v>
      </c>
      <c r="B2" s="26">
        <v>2682.7079338156664</v>
      </c>
      <c r="C2" s="27">
        <v>0</v>
      </c>
      <c r="D2" s="27">
        <v>-341.3539669078333</v>
      </c>
      <c r="E2" s="27">
        <v>512.03095036175</v>
      </c>
      <c r="F2" s="27">
        <v>-341.3539669078333</v>
      </c>
      <c r="G2" s="27">
        <v>-512.03095036175</v>
      </c>
      <c r="H2" s="27">
        <v>0</v>
      </c>
      <c r="I2" s="27">
        <v>0</v>
      </c>
      <c r="J2" s="17">
        <v>-1000</v>
      </c>
      <c r="K2" s="17">
        <v>0</v>
      </c>
      <c r="L2" s="17">
        <v>-1000</v>
      </c>
      <c r="M2" s="5">
        <v>0</v>
      </c>
      <c r="N2">
        <v>1</v>
      </c>
      <c r="O2" s="1">
        <f t="array" ref="O2:O9">MMULT(MINVERSE(B2:I9),P2:P9)</f>
        <v>7.5000000000000032E-3</v>
      </c>
      <c r="P2" s="1">
        <v>0</v>
      </c>
    </row>
    <row r="3" spans="1:16" x14ac:dyDescent="0.25">
      <c r="A3">
        <v>2</v>
      </c>
      <c r="B3" s="28">
        <v>0</v>
      </c>
      <c r="C3" s="29">
        <v>1536.09285108525</v>
      </c>
      <c r="D3" s="29">
        <v>512.03095036175</v>
      </c>
      <c r="E3" s="29">
        <v>-768.046425542625</v>
      </c>
      <c r="F3" s="29">
        <v>-512.03095036175</v>
      </c>
      <c r="G3" s="29">
        <v>-768.046425542625</v>
      </c>
      <c r="H3" s="29">
        <v>0</v>
      </c>
      <c r="I3" s="29">
        <v>0</v>
      </c>
      <c r="J3" s="15">
        <v>0</v>
      </c>
      <c r="K3" s="15">
        <v>0</v>
      </c>
      <c r="L3" s="15">
        <v>0</v>
      </c>
      <c r="M3" s="10">
        <v>0</v>
      </c>
      <c r="N3">
        <v>2</v>
      </c>
      <c r="O3" s="1">
        <v>-4.2706759211684354E-2</v>
      </c>
      <c r="P3" s="1">
        <v>-5</v>
      </c>
    </row>
    <row r="4" spans="1:16" x14ac:dyDescent="0.25">
      <c r="A4">
        <v>3</v>
      </c>
      <c r="B4" s="28">
        <v>-341.3539669078333</v>
      </c>
      <c r="C4" s="29">
        <v>512.03095036175</v>
      </c>
      <c r="D4" s="29">
        <v>1682.7079338156666</v>
      </c>
      <c r="E4" s="29">
        <v>0</v>
      </c>
      <c r="F4" s="29">
        <v>-1000</v>
      </c>
      <c r="G4" s="29">
        <v>0</v>
      </c>
      <c r="H4" s="29">
        <v>0</v>
      </c>
      <c r="I4" s="29">
        <v>0</v>
      </c>
      <c r="J4" s="15">
        <v>-341.3539669078333</v>
      </c>
      <c r="K4" s="15">
        <v>-512.03095036175</v>
      </c>
      <c r="L4" s="15">
        <v>0</v>
      </c>
      <c r="M4" s="10">
        <v>0</v>
      </c>
      <c r="N4">
        <v>3</v>
      </c>
      <c r="O4" s="1">
        <v>4.3103845437049496E-2</v>
      </c>
      <c r="P4" s="1">
        <v>30</v>
      </c>
    </row>
    <row r="5" spans="1:16" x14ac:dyDescent="0.25">
      <c r="A5">
        <v>4</v>
      </c>
      <c r="B5" s="28">
        <v>512.03095036175</v>
      </c>
      <c r="C5" s="29">
        <v>-768.046425542625</v>
      </c>
      <c r="D5" s="29">
        <v>0</v>
      </c>
      <c r="E5" s="29">
        <v>1536.09285108525</v>
      </c>
      <c r="F5" s="29">
        <v>0</v>
      </c>
      <c r="G5" s="29">
        <v>0</v>
      </c>
      <c r="H5" s="29">
        <v>0</v>
      </c>
      <c r="I5" s="29">
        <v>0</v>
      </c>
      <c r="J5" s="15">
        <v>-512.03095036175</v>
      </c>
      <c r="K5" s="15">
        <v>-768.046425542625</v>
      </c>
      <c r="L5" s="15">
        <v>0</v>
      </c>
      <c r="M5" s="10">
        <v>0</v>
      </c>
      <c r="N5">
        <v>4</v>
      </c>
      <c r="O5" s="1">
        <v>-3.0363402742096597E-2</v>
      </c>
      <c r="P5" s="1">
        <v>-10</v>
      </c>
    </row>
    <row r="6" spans="1:16" x14ac:dyDescent="0.25">
      <c r="A6">
        <v>5</v>
      </c>
      <c r="B6" s="28">
        <v>-341.3539669078333</v>
      </c>
      <c r="C6" s="29">
        <v>-512.03095036175</v>
      </c>
      <c r="D6" s="29">
        <v>-1000</v>
      </c>
      <c r="E6" s="29">
        <v>0</v>
      </c>
      <c r="F6" s="29">
        <v>2682.7079338156664</v>
      </c>
      <c r="G6" s="29">
        <v>0</v>
      </c>
      <c r="H6" s="29">
        <v>-1000</v>
      </c>
      <c r="I6" s="29">
        <v>0</v>
      </c>
      <c r="J6" s="15">
        <v>0</v>
      </c>
      <c r="K6" s="15">
        <v>0</v>
      </c>
      <c r="L6" s="15">
        <v>-341.3539669078333</v>
      </c>
      <c r="M6" s="10">
        <v>512.03095036175</v>
      </c>
      <c r="N6">
        <v>5</v>
      </c>
      <c r="O6" s="1">
        <v>1.8103845437049512E-2</v>
      </c>
      <c r="P6" s="1">
        <v>0</v>
      </c>
    </row>
    <row r="7" spans="1:16" x14ac:dyDescent="0.25">
      <c r="A7">
        <v>6</v>
      </c>
      <c r="B7" s="28">
        <v>-512.03095036175</v>
      </c>
      <c r="C7" s="29">
        <v>-768.046425542625</v>
      </c>
      <c r="D7" s="29">
        <v>0</v>
      </c>
      <c r="E7" s="29">
        <v>0</v>
      </c>
      <c r="F7" s="29">
        <v>0</v>
      </c>
      <c r="G7" s="29">
        <v>1536.09285108525</v>
      </c>
      <c r="H7" s="29">
        <v>0</v>
      </c>
      <c r="I7" s="29">
        <v>0</v>
      </c>
      <c r="J7" s="15">
        <v>0</v>
      </c>
      <c r="K7" s="15">
        <v>0</v>
      </c>
      <c r="L7" s="15">
        <v>512.03095036175</v>
      </c>
      <c r="M7" s="10">
        <v>-768.046425542625</v>
      </c>
      <c r="N7">
        <v>6</v>
      </c>
      <c r="O7" s="1">
        <v>-3.1873425878351021E-2</v>
      </c>
      <c r="P7" s="1">
        <v>-20</v>
      </c>
    </row>
    <row r="8" spans="1:16" x14ac:dyDescent="0.25">
      <c r="A8">
        <v>7</v>
      </c>
      <c r="B8" s="28">
        <v>0</v>
      </c>
      <c r="C8" s="29">
        <v>0</v>
      </c>
      <c r="D8" s="29">
        <v>0</v>
      </c>
      <c r="E8" s="29">
        <v>0</v>
      </c>
      <c r="F8" s="29">
        <v>-1000</v>
      </c>
      <c r="G8" s="29">
        <v>0</v>
      </c>
      <c r="H8" s="29">
        <v>1341.3539669078332</v>
      </c>
      <c r="I8" s="29">
        <v>512.03095036175</v>
      </c>
      <c r="J8" s="15">
        <v>0</v>
      </c>
      <c r="K8" s="15">
        <v>0</v>
      </c>
      <c r="L8" s="15">
        <v>-341.3539669078333</v>
      </c>
      <c r="M8" s="10">
        <v>-512.03095036175</v>
      </c>
      <c r="N8">
        <v>7</v>
      </c>
      <c r="O8" s="1">
        <v>2.4770512103716176E-2</v>
      </c>
      <c r="P8" s="1">
        <v>0</v>
      </c>
    </row>
    <row r="9" spans="1:16" x14ac:dyDescent="0.25">
      <c r="A9">
        <v>8</v>
      </c>
      <c r="B9" s="28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512.03095036175</v>
      </c>
      <c r="I9" s="29">
        <v>768.046425542625</v>
      </c>
      <c r="J9" s="15">
        <v>0</v>
      </c>
      <c r="K9" s="15">
        <v>0</v>
      </c>
      <c r="L9" s="15">
        <v>-512.03095036175</v>
      </c>
      <c r="M9" s="10">
        <v>-768.046425542625</v>
      </c>
      <c r="N9">
        <v>8</v>
      </c>
      <c r="O9" s="1">
        <v>-2.9533721008319636E-2</v>
      </c>
      <c r="P9" s="1">
        <v>-10</v>
      </c>
    </row>
    <row r="10" spans="1:16" x14ac:dyDescent="0.25">
      <c r="A10">
        <v>9</v>
      </c>
      <c r="B10" s="19">
        <v>-1000</v>
      </c>
      <c r="C10" s="15">
        <v>0</v>
      </c>
      <c r="D10" s="15">
        <v>-341.3539669078333</v>
      </c>
      <c r="E10" s="15">
        <v>-512.03095036175</v>
      </c>
      <c r="F10" s="15">
        <v>0</v>
      </c>
      <c r="G10" s="15">
        <v>0</v>
      </c>
      <c r="H10" s="15">
        <v>0</v>
      </c>
      <c r="I10" s="15">
        <v>0</v>
      </c>
      <c r="J10" s="15">
        <v>1341.3539669078332</v>
      </c>
      <c r="K10" s="15">
        <v>512.03095036175</v>
      </c>
      <c r="L10" s="15">
        <v>0</v>
      </c>
      <c r="M10" s="10">
        <v>0</v>
      </c>
      <c r="N10">
        <v>9</v>
      </c>
      <c r="O10" s="1">
        <v>0</v>
      </c>
      <c r="P10" s="1">
        <f t="array" ref="P10:P13">MMULT(B10:I13,O2:O9)</f>
        <v>-6.6666666666666732</v>
      </c>
    </row>
    <row r="11" spans="1:16" x14ac:dyDescent="0.25">
      <c r="A11">
        <v>10</v>
      </c>
      <c r="B11" s="19">
        <v>0</v>
      </c>
      <c r="C11" s="15">
        <v>0</v>
      </c>
      <c r="D11" s="15">
        <v>-512.03095036175</v>
      </c>
      <c r="E11" s="15">
        <v>-768.046425542625</v>
      </c>
      <c r="F11" s="15">
        <v>0</v>
      </c>
      <c r="G11" s="15">
        <v>0</v>
      </c>
      <c r="H11" s="15">
        <v>0</v>
      </c>
      <c r="I11" s="15">
        <v>0</v>
      </c>
      <c r="J11" s="15">
        <v>512.03095036175</v>
      </c>
      <c r="K11" s="15">
        <v>768.046425542625</v>
      </c>
      <c r="L11" s="15">
        <v>0</v>
      </c>
      <c r="M11" s="10">
        <v>0</v>
      </c>
      <c r="N11">
        <v>10</v>
      </c>
      <c r="O11" s="1">
        <v>0</v>
      </c>
      <c r="P11" s="1">
        <v>1.2499999999999929</v>
      </c>
    </row>
    <row r="12" spans="1:16" x14ac:dyDescent="0.25">
      <c r="A12">
        <v>11</v>
      </c>
      <c r="B12" s="19">
        <v>-1000</v>
      </c>
      <c r="C12" s="15">
        <v>0</v>
      </c>
      <c r="D12" s="15">
        <v>0</v>
      </c>
      <c r="E12" s="15">
        <v>0</v>
      </c>
      <c r="F12" s="15">
        <v>-341.3539669078333</v>
      </c>
      <c r="G12" s="15">
        <v>512.03095036175</v>
      </c>
      <c r="H12" s="15">
        <v>-341.3539669078333</v>
      </c>
      <c r="I12" s="15">
        <v>-512.03095036175</v>
      </c>
      <c r="J12" s="15">
        <v>0</v>
      </c>
      <c r="K12" s="15">
        <v>0</v>
      </c>
      <c r="L12" s="15">
        <v>1682.7079338156664</v>
      </c>
      <c r="M12" s="10">
        <v>0</v>
      </c>
      <c r="N12">
        <v>11</v>
      </c>
      <c r="O12" s="1">
        <v>0</v>
      </c>
      <c r="P12" s="1">
        <v>-23.333333333333336</v>
      </c>
    </row>
    <row r="13" spans="1:16" ht="15.75" thickBot="1" x14ac:dyDescent="0.3">
      <c r="A13">
        <v>12</v>
      </c>
      <c r="B13" s="20">
        <v>0</v>
      </c>
      <c r="C13" s="21">
        <v>0</v>
      </c>
      <c r="D13" s="21">
        <v>0</v>
      </c>
      <c r="E13" s="21">
        <v>0</v>
      </c>
      <c r="F13" s="21">
        <v>512.03095036175</v>
      </c>
      <c r="G13" s="21">
        <v>-768.046425542625</v>
      </c>
      <c r="H13" s="21">
        <v>-512.03095036175</v>
      </c>
      <c r="I13" s="21">
        <v>-768.046425542625</v>
      </c>
      <c r="J13" s="21">
        <v>0</v>
      </c>
      <c r="K13" s="21">
        <v>0</v>
      </c>
      <c r="L13" s="21">
        <v>0</v>
      </c>
      <c r="M13" s="6">
        <v>1536.09285108525</v>
      </c>
      <c r="N13">
        <v>12</v>
      </c>
      <c r="O13" s="1">
        <v>0</v>
      </c>
      <c r="P13" s="1">
        <v>43.75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">
                <anchor moveWithCells="1" sizeWithCells="1">
                  <from>
                    <xdr:col>6</xdr:col>
                    <xdr:colOff>19050</xdr:colOff>
                    <xdr:row>16</xdr:row>
                    <xdr:rowOff>47625</xdr:rowOff>
                  </from>
                  <to>
                    <xdr:col>8</xdr:col>
                    <xdr:colOff>19050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13" sqref="P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Nodes</vt:lpstr>
      <vt:lpstr>Elements</vt:lpstr>
      <vt:lpstr>Ke</vt:lpstr>
      <vt:lpstr>Ks</vt:lpstr>
      <vt:lpstr>Sheet1</vt:lpstr>
      <vt:lpstr>code</vt:lpstr>
      <vt:lpstr>disp</vt:lpstr>
      <vt:lpstr>el_count</vt:lpstr>
      <vt:lpstr>el_id</vt:lpstr>
      <vt:lpstr>elements</vt:lpstr>
      <vt:lpstr>KElement</vt:lpstr>
      <vt:lpstr>KSystem</vt:lpstr>
      <vt:lpstr>nodes</vt:lpstr>
      <vt:lpstr>qElement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2019-10-31T08:25:32Z</dcterms:created>
  <dcterms:modified xsi:type="dcterms:W3CDTF">2019-11-19T02:56:36Z</dcterms:modified>
</cp:coreProperties>
</file>