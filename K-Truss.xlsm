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cro\Desktop\fem2019-1\"/>
    </mc:Choice>
  </mc:AlternateContent>
  <bookViews>
    <workbookView xWindow="0" yWindow="0" windowWidth="20490" windowHeight="7620" activeTab="2"/>
  </bookViews>
  <sheets>
    <sheet name="Nodes" sheetId="1" r:id="rId1"/>
    <sheet name="Elements" sheetId="2" r:id="rId2"/>
    <sheet name="Ke" sheetId="3" r:id="rId3"/>
    <sheet name="Ks" sheetId="4" r:id="rId4"/>
    <sheet name="Sheet1" sheetId="5" r:id="rId5"/>
  </sheets>
  <definedNames>
    <definedName name="code">Ke!$D$7:$E$7</definedName>
    <definedName name="disp">Ks!$F$2:$G$6</definedName>
    <definedName name="el_count">Ke!$B$2</definedName>
    <definedName name="el_id">Ke!$B$1</definedName>
    <definedName name="elements">Elements!$A:$K</definedName>
    <definedName name="KElement">Ke!$D$8:$E$9</definedName>
    <definedName name="KSystem">Ks!$A$2:$E$6</definedName>
    <definedName name="nodes">Nodes!$A:$I</definedName>
    <definedName name="qElement">Ke!$H$8:$H$9</definedName>
    <definedName name="qSystem">Ks!$I$2:$I$6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2" l="1"/>
  <c r="I3" i="2"/>
  <c r="J3" i="2"/>
  <c r="K3" i="2"/>
  <c r="H4" i="2"/>
  <c r="I4" i="2"/>
  <c r="J4" i="2"/>
  <c r="K4" i="2"/>
  <c r="H5" i="2"/>
  <c r="I5" i="2"/>
  <c r="J5" i="2"/>
  <c r="K5" i="2"/>
  <c r="H6" i="2"/>
  <c r="I6" i="2"/>
  <c r="J6" i="2"/>
  <c r="K6" i="2"/>
  <c r="H7" i="2"/>
  <c r="I7" i="2"/>
  <c r="J7" i="2"/>
  <c r="K7" i="2"/>
  <c r="H8" i="2"/>
  <c r="I8" i="2"/>
  <c r="J8" i="2"/>
  <c r="K8" i="2"/>
  <c r="H9" i="2"/>
  <c r="I9" i="2"/>
  <c r="J9" i="2"/>
  <c r="K9" i="2"/>
  <c r="H10" i="2"/>
  <c r="I10" i="2"/>
  <c r="J10" i="2"/>
  <c r="K10" i="2"/>
  <c r="K2" i="2"/>
  <c r="J2" i="2"/>
  <c r="I2" i="2"/>
  <c r="H2" i="2"/>
  <c r="G6" i="2"/>
  <c r="G7" i="2"/>
  <c r="G8" i="2"/>
  <c r="G9" i="2"/>
  <c r="G10" i="2"/>
  <c r="G3" i="2"/>
  <c r="G4" i="2"/>
  <c r="G5" i="2"/>
  <c r="F3" i="2"/>
  <c r="F4" i="2"/>
  <c r="F5" i="2"/>
  <c r="F6" i="2"/>
  <c r="F7" i="2"/>
  <c r="F8" i="2"/>
  <c r="F9" i="2"/>
  <c r="F10" i="2"/>
  <c r="F2" i="2"/>
  <c r="B5" i="3" s="1"/>
  <c r="E3" i="2"/>
  <c r="E4" i="2"/>
  <c r="E5" i="2"/>
  <c r="E6" i="2"/>
  <c r="E7" i="2"/>
  <c r="E8" i="2"/>
  <c r="E9" i="2"/>
  <c r="E10" i="2"/>
  <c r="E2" i="2"/>
  <c r="B4" i="3" s="1"/>
  <c r="G2" i="2" l="1"/>
  <c r="B6" i="3" s="1"/>
  <c r="B7" i="3" s="1"/>
  <c r="B2" i="3"/>
  <c r="K4" i="4"/>
  <c r="K2" i="4"/>
  <c r="B8" i="3" l="1"/>
  <c r="G2" i="4" a="1"/>
  <c r="G2" i="4" s="1"/>
  <c r="B3" i="3"/>
  <c r="G3" i="4" l="1"/>
  <c r="G4" i="4"/>
  <c r="J5" i="4" l="1" a="1"/>
  <c r="J5" i="4" s="1"/>
  <c r="K5" i="4" s="1"/>
  <c r="J6" i="4" l="1"/>
  <c r="K6" i="4" s="1"/>
</calcChain>
</file>

<file path=xl/sharedStrings.xml><?xml version="1.0" encoding="utf-8"?>
<sst xmlns="http://schemas.openxmlformats.org/spreadsheetml/2006/main" count="38" uniqueCount="33">
  <si>
    <t>ID</t>
  </si>
  <si>
    <t>X</t>
  </si>
  <si>
    <t>rx</t>
  </si>
  <si>
    <t>ux</t>
  </si>
  <si>
    <t>Px</t>
  </si>
  <si>
    <t>na</t>
  </si>
  <si>
    <t>nb</t>
  </si>
  <si>
    <t>EA</t>
  </si>
  <si>
    <t>L</t>
  </si>
  <si>
    <t>c1</t>
  </si>
  <si>
    <t>c2</t>
  </si>
  <si>
    <t>q</t>
  </si>
  <si>
    <t>EL_ID:</t>
  </si>
  <si>
    <t>=</t>
  </si>
  <si>
    <t>Ks</t>
  </si>
  <si>
    <t>us</t>
  </si>
  <si>
    <t>P</t>
  </si>
  <si>
    <t>q+P</t>
  </si>
  <si>
    <t>EL_COUNT</t>
  </si>
  <si>
    <t>Y</t>
  </si>
  <si>
    <t>ry</t>
  </si>
  <si>
    <t>uy</t>
  </si>
  <si>
    <t>Py</t>
  </si>
  <si>
    <t>P9</t>
  </si>
  <si>
    <t>P10</t>
  </si>
  <si>
    <t>P11</t>
  </si>
  <si>
    <t>P12=?</t>
  </si>
  <si>
    <t>Lx</t>
  </si>
  <si>
    <t>Ly</t>
  </si>
  <si>
    <t>c3</t>
  </si>
  <si>
    <t>c4</t>
  </si>
  <si>
    <t>C_teta</t>
  </si>
  <si>
    <t>S_teta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</si>
</sst>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0" xfId="0" quotePrefix="1" applyAlignment="1">
      <alignment horizontal="center"/>
    </xf>
    <xf numFmtId="0" fontId="0" fillId="0" borderId="11" xfId="0" applyBorder="1"/>
    <xf numFmtId="0" fontId="0" fillId="2" borderId="5" xfId="0" applyFill="1" applyBorder="1"/>
    <xf numFmtId="0" fontId="0" fillId="2" borderId="11" xfId="0" applyFill="1" applyBorder="1"/>
    <xf numFmtId="0" fontId="0" fillId="2" borderId="0" xfId="0" applyFill="1"/>
    <xf numFmtId="0" fontId="0" fillId="2" borderId="7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Fill="1"/>
    <xf numFmtId="0" fontId="0" fillId="0" borderId="0" xfId="0" applyBorder="1"/>
    <xf numFmtId="0" fontId="0" fillId="0" borderId="0" xfId="0" quotePrefix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8</xdr:row>
          <xdr:rowOff>47625</xdr:rowOff>
        </xdr:from>
        <xdr:to>
          <xdr:col>4</xdr:col>
          <xdr:colOff>47625</xdr:colOff>
          <xdr:row>9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GO!!!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"/>
  <sheetViews>
    <sheetView zoomScale="190" zoomScaleNormal="190" workbookViewId="0">
      <selection activeCell="G2" sqref="G2"/>
    </sheetView>
  </sheetViews>
  <sheetFormatPr defaultRowHeight="15" x14ac:dyDescent="0.25"/>
  <cols>
    <col min="1" max="16384" width="9.140625" style="1"/>
  </cols>
  <sheetData>
    <row r="1" spans="1:9" s="2" customFormat="1" x14ac:dyDescent="0.25">
      <c r="A1" s="2" t="s">
        <v>0</v>
      </c>
      <c r="B1" s="2" t="s">
        <v>1</v>
      </c>
      <c r="C1" s="2" t="s">
        <v>19</v>
      </c>
      <c r="D1" s="2" t="s">
        <v>2</v>
      </c>
      <c r="E1" s="2" t="s">
        <v>20</v>
      </c>
      <c r="F1" s="2" t="s">
        <v>3</v>
      </c>
      <c r="G1" s="2" t="s">
        <v>21</v>
      </c>
      <c r="H1" s="2" t="s">
        <v>4</v>
      </c>
      <c r="I1" s="2" t="s">
        <v>22</v>
      </c>
    </row>
    <row r="2" spans="1:9" x14ac:dyDescent="0.25">
      <c r="A2" s="1">
        <v>1</v>
      </c>
      <c r="B2" s="1">
        <v>0</v>
      </c>
      <c r="C2" s="1">
        <v>0</v>
      </c>
      <c r="D2" s="1">
        <v>1</v>
      </c>
      <c r="E2" s="1">
        <v>1</v>
      </c>
      <c r="F2" s="1">
        <v>9</v>
      </c>
      <c r="G2" s="1">
        <v>10</v>
      </c>
      <c r="H2" s="1" t="s">
        <v>23</v>
      </c>
      <c r="I2" s="1" t="s">
        <v>24</v>
      </c>
    </row>
    <row r="3" spans="1:9" x14ac:dyDescent="0.25">
      <c r="A3" s="1">
        <v>2</v>
      </c>
      <c r="B3" s="1">
        <v>2</v>
      </c>
      <c r="C3" s="1">
        <v>0</v>
      </c>
      <c r="D3" s="1">
        <v>0</v>
      </c>
      <c r="E3" s="1">
        <v>0</v>
      </c>
      <c r="F3" s="1">
        <v>1</v>
      </c>
      <c r="G3" s="1">
        <v>2</v>
      </c>
      <c r="H3" s="1">
        <v>0</v>
      </c>
      <c r="I3" s="1">
        <v>-5</v>
      </c>
    </row>
    <row r="4" spans="1:9" x14ac:dyDescent="0.25">
      <c r="A4" s="1">
        <v>3</v>
      </c>
      <c r="B4" s="1">
        <v>4</v>
      </c>
      <c r="C4" s="1">
        <v>0</v>
      </c>
      <c r="D4" s="1">
        <v>1</v>
      </c>
      <c r="E4" s="1">
        <v>1</v>
      </c>
      <c r="F4" s="1">
        <v>11</v>
      </c>
      <c r="G4" s="1">
        <v>12</v>
      </c>
      <c r="H4" s="1" t="s">
        <v>25</v>
      </c>
      <c r="I4" s="1" t="s">
        <v>26</v>
      </c>
    </row>
    <row r="5" spans="1:9" x14ac:dyDescent="0.25">
      <c r="A5" s="1">
        <v>4</v>
      </c>
      <c r="B5" s="1">
        <v>1</v>
      </c>
      <c r="C5" s="1">
        <v>1.5</v>
      </c>
      <c r="D5" s="1">
        <v>0</v>
      </c>
      <c r="E5" s="1">
        <v>0</v>
      </c>
      <c r="F5" s="1">
        <v>3</v>
      </c>
      <c r="G5" s="1">
        <v>4</v>
      </c>
      <c r="H5" s="1">
        <v>30</v>
      </c>
      <c r="I5" s="1">
        <v>-10</v>
      </c>
    </row>
    <row r="6" spans="1:9" x14ac:dyDescent="0.25">
      <c r="A6" s="1">
        <v>5</v>
      </c>
      <c r="B6" s="1">
        <v>3</v>
      </c>
      <c r="C6" s="1">
        <v>1.5</v>
      </c>
      <c r="D6" s="1">
        <v>0</v>
      </c>
      <c r="E6" s="1">
        <v>0</v>
      </c>
      <c r="F6" s="1">
        <v>5</v>
      </c>
      <c r="G6" s="1">
        <v>6</v>
      </c>
      <c r="H6" s="1">
        <v>0</v>
      </c>
      <c r="I6" s="1">
        <v>-20</v>
      </c>
    </row>
    <row r="7" spans="1:9" x14ac:dyDescent="0.25">
      <c r="A7" s="1">
        <v>6</v>
      </c>
      <c r="B7" s="1">
        <v>5</v>
      </c>
      <c r="C7" s="1">
        <v>1.5</v>
      </c>
      <c r="D7" s="1">
        <v>0</v>
      </c>
      <c r="E7" s="1">
        <v>0</v>
      </c>
      <c r="F7" s="1">
        <v>7</v>
      </c>
      <c r="G7" s="1">
        <v>8</v>
      </c>
      <c r="H7" s="1">
        <v>0</v>
      </c>
      <c r="I7" s="1">
        <v>-10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0"/>
  <sheetViews>
    <sheetView zoomScale="220" zoomScaleNormal="220" workbookViewId="0">
      <selection activeCell="C3" sqref="C3"/>
    </sheetView>
  </sheetViews>
  <sheetFormatPr defaultRowHeight="15" x14ac:dyDescent="0.25"/>
  <cols>
    <col min="1" max="3" width="6.28515625" style="4" customWidth="1"/>
    <col min="4" max="6" width="8.140625" style="4" customWidth="1"/>
    <col min="7" max="9" width="6.28515625" style="4" customWidth="1"/>
    <col min="10" max="16384" width="9.140625" style="4"/>
  </cols>
  <sheetData>
    <row r="1" spans="1:11" s="2" customFormat="1" x14ac:dyDescent="0.25">
      <c r="A1" s="2" t="s">
        <v>0</v>
      </c>
      <c r="B1" s="2" t="s">
        <v>5</v>
      </c>
      <c r="C1" s="2" t="s">
        <v>6</v>
      </c>
      <c r="D1" s="2" t="s">
        <v>7</v>
      </c>
      <c r="E1" s="2" t="s">
        <v>27</v>
      </c>
      <c r="F1" s="2" t="s">
        <v>28</v>
      </c>
      <c r="G1" s="2" t="s">
        <v>8</v>
      </c>
      <c r="H1" s="2" t="s">
        <v>9</v>
      </c>
      <c r="I1" s="2" t="s">
        <v>10</v>
      </c>
      <c r="J1" s="2" t="s">
        <v>29</v>
      </c>
      <c r="K1" s="2" t="s">
        <v>30</v>
      </c>
    </row>
    <row r="2" spans="1:11" x14ac:dyDescent="0.25">
      <c r="A2" s="4">
        <v>1</v>
      </c>
      <c r="B2" s="4">
        <v>1</v>
      </c>
      <c r="C2" s="4">
        <v>2</v>
      </c>
      <c r="D2" s="4">
        <v>2000</v>
      </c>
      <c r="E2" s="4">
        <f>VLOOKUP(C2,nodes,2,FALSE)-VLOOKUP(B2,nodes,2,FALSE)</f>
        <v>2</v>
      </c>
      <c r="F2" s="4">
        <f>VLOOKUP(C2,nodes,3,FALSE)-VLOOKUP(B2,nodes,3,FALSE)</f>
        <v>0</v>
      </c>
      <c r="G2" s="4">
        <f>SQRT(E2^2+F2^2)</f>
        <v>2</v>
      </c>
      <c r="H2" s="4">
        <f>VLOOKUP(B2,nodes,6,FALSE)</f>
        <v>9</v>
      </c>
      <c r="I2" s="4">
        <f>VLOOKUP(B2,nodes,7,FALSE)</f>
        <v>10</v>
      </c>
      <c r="J2" s="4">
        <f>VLOOKUP(C2,nodes,6,FALSE)</f>
        <v>1</v>
      </c>
      <c r="K2" s="4">
        <f>VLOOKUP(C2,nodes,7,FALSE)</f>
        <v>2</v>
      </c>
    </row>
    <row r="3" spans="1:11" x14ac:dyDescent="0.25">
      <c r="A3" s="4">
        <v>2</v>
      </c>
      <c r="B3" s="4">
        <v>2</v>
      </c>
      <c r="C3" s="4">
        <v>3</v>
      </c>
      <c r="D3" s="4">
        <v>2000</v>
      </c>
      <c r="E3" s="4">
        <f>VLOOKUP(C3,nodes,2,FALSE)-VLOOKUP(B3,nodes,2,FALSE)</f>
        <v>2</v>
      </c>
      <c r="F3" s="4">
        <f>VLOOKUP(C3,nodes,3,FALSE)-VLOOKUP(B3,nodes,3,FALSE)</f>
        <v>0</v>
      </c>
      <c r="G3" s="4">
        <f t="shared" ref="G3:G10" si="0">SQRT(E3^2+F3^2)</f>
        <v>2</v>
      </c>
      <c r="H3" s="4">
        <f>VLOOKUP(B3,nodes,6,FALSE)</f>
        <v>1</v>
      </c>
      <c r="I3" s="4">
        <f>VLOOKUP(B3,nodes,7,FALSE)</f>
        <v>2</v>
      </c>
      <c r="J3" s="4">
        <f>VLOOKUP(C3,nodes,6,FALSE)</f>
        <v>11</v>
      </c>
      <c r="K3" s="4">
        <f>VLOOKUP(C3,nodes,7,FALSE)</f>
        <v>12</v>
      </c>
    </row>
    <row r="4" spans="1:11" x14ac:dyDescent="0.25">
      <c r="A4" s="4">
        <v>3</v>
      </c>
      <c r="B4" s="4">
        <v>1</v>
      </c>
      <c r="C4" s="4">
        <v>4</v>
      </c>
      <c r="D4" s="4">
        <v>2000</v>
      </c>
      <c r="E4" s="4">
        <f>VLOOKUP(C4,nodes,2,FALSE)-VLOOKUP(B4,nodes,2,FALSE)</f>
        <v>1</v>
      </c>
      <c r="F4" s="4">
        <f>VLOOKUP(C4,nodes,3,FALSE)-VLOOKUP(B4,nodes,3,FALSE)</f>
        <v>1.5</v>
      </c>
      <c r="G4" s="4">
        <f t="shared" si="0"/>
        <v>1.8027756377319946</v>
      </c>
      <c r="H4" s="4">
        <f>VLOOKUP(B4,nodes,6,FALSE)</f>
        <v>9</v>
      </c>
      <c r="I4" s="4">
        <f>VLOOKUP(B4,nodes,7,FALSE)</f>
        <v>10</v>
      </c>
      <c r="J4" s="4">
        <f>VLOOKUP(C4,nodes,6,FALSE)</f>
        <v>3</v>
      </c>
      <c r="K4" s="4">
        <f>VLOOKUP(C4,nodes,7,FALSE)</f>
        <v>4</v>
      </c>
    </row>
    <row r="5" spans="1:11" x14ac:dyDescent="0.25">
      <c r="A5" s="4">
        <v>4</v>
      </c>
      <c r="B5" s="4">
        <v>4</v>
      </c>
      <c r="C5" s="4">
        <v>2</v>
      </c>
      <c r="D5" s="4">
        <v>2000</v>
      </c>
      <c r="E5" s="4">
        <f>VLOOKUP(C5,nodes,2,FALSE)-VLOOKUP(B5,nodes,2,FALSE)</f>
        <v>1</v>
      </c>
      <c r="F5" s="4">
        <f>VLOOKUP(C5,nodes,3,FALSE)-VLOOKUP(B5,nodes,3,FALSE)</f>
        <v>-1.5</v>
      </c>
      <c r="G5" s="4">
        <f t="shared" si="0"/>
        <v>1.8027756377319946</v>
      </c>
      <c r="H5" s="4">
        <f>VLOOKUP(B5,nodes,6,FALSE)</f>
        <v>3</v>
      </c>
      <c r="I5" s="4">
        <f>VLOOKUP(B5,nodes,7,FALSE)</f>
        <v>4</v>
      </c>
      <c r="J5" s="4">
        <f>VLOOKUP(C5,nodes,6,FALSE)</f>
        <v>1</v>
      </c>
      <c r="K5" s="4">
        <f>VLOOKUP(C5,nodes,7,FALSE)</f>
        <v>2</v>
      </c>
    </row>
    <row r="6" spans="1:11" x14ac:dyDescent="0.25">
      <c r="A6" s="4">
        <v>5</v>
      </c>
      <c r="B6" s="4">
        <v>2</v>
      </c>
      <c r="C6" s="4">
        <v>5</v>
      </c>
      <c r="D6" s="4">
        <v>2000</v>
      </c>
      <c r="E6" s="4">
        <f>VLOOKUP(C6,nodes,2,FALSE)-VLOOKUP(B6,nodes,2,FALSE)</f>
        <v>1</v>
      </c>
      <c r="F6" s="4">
        <f>VLOOKUP(C6,nodes,3,FALSE)-VLOOKUP(B6,nodes,3,FALSE)</f>
        <v>1.5</v>
      </c>
      <c r="G6" s="4">
        <f t="shared" si="0"/>
        <v>1.8027756377319946</v>
      </c>
      <c r="H6" s="4">
        <f>VLOOKUP(B6,nodes,6,FALSE)</f>
        <v>1</v>
      </c>
      <c r="I6" s="4">
        <f>VLOOKUP(B6,nodes,7,FALSE)</f>
        <v>2</v>
      </c>
      <c r="J6" s="4">
        <f>VLOOKUP(C6,nodes,6,FALSE)</f>
        <v>5</v>
      </c>
      <c r="K6" s="4">
        <f>VLOOKUP(C6,nodes,7,FALSE)</f>
        <v>6</v>
      </c>
    </row>
    <row r="7" spans="1:11" x14ac:dyDescent="0.25">
      <c r="A7" s="4">
        <v>6</v>
      </c>
      <c r="B7" s="4">
        <v>5</v>
      </c>
      <c r="C7" s="4">
        <v>3</v>
      </c>
      <c r="D7" s="4">
        <v>2000</v>
      </c>
      <c r="E7" s="4">
        <f>VLOOKUP(C7,nodes,2,FALSE)-VLOOKUP(B7,nodes,2,FALSE)</f>
        <v>1</v>
      </c>
      <c r="F7" s="4">
        <f>VLOOKUP(C7,nodes,3,FALSE)-VLOOKUP(B7,nodes,3,FALSE)</f>
        <v>-1.5</v>
      </c>
      <c r="G7" s="4">
        <f t="shared" si="0"/>
        <v>1.8027756377319946</v>
      </c>
      <c r="H7" s="4">
        <f>VLOOKUP(B7,nodes,6,FALSE)</f>
        <v>5</v>
      </c>
      <c r="I7" s="4">
        <f>VLOOKUP(B7,nodes,7,FALSE)</f>
        <v>6</v>
      </c>
      <c r="J7" s="4">
        <f>VLOOKUP(C7,nodes,6,FALSE)</f>
        <v>11</v>
      </c>
      <c r="K7" s="4">
        <f>VLOOKUP(C7,nodes,7,FALSE)</f>
        <v>12</v>
      </c>
    </row>
    <row r="8" spans="1:11" x14ac:dyDescent="0.25">
      <c r="A8" s="4">
        <v>7</v>
      </c>
      <c r="B8" s="4">
        <v>3</v>
      </c>
      <c r="C8" s="4">
        <v>6</v>
      </c>
      <c r="D8" s="4">
        <v>2000</v>
      </c>
      <c r="E8" s="4">
        <f>VLOOKUP(C8,nodes,2,FALSE)-VLOOKUP(B8,nodes,2,FALSE)</f>
        <v>1</v>
      </c>
      <c r="F8" s="4">
        <f>VLOOKUP(C8,nodes,3,FALSE)-VLOOKUP(B8,nodes,3,FALSE)</f>
        <v>1.5</v>
      </c>
      <c r="G8" s="4">
        <f t="shared" si="0"/>
        <v>1.8027756377319946</v>
      </c>
      <c r="H8" s="4">
        <f>VLOOKUP(B8,nodes,6,FALSE)</f>
        <v>11</v>
      </c>
      <c r="I8" s="4">
        <f>VLOOKUP(B8,nodes,7,FALSE)</f>
        <v>12</v>
      </c>
      <c r="J8" s="4">
        <f>VLOOKUP(C8,nodes,6,FALSE)</f>
        <v>7</v>
      </c>
      <c r="K8" s="4">
        <f>VLOOKUP(C8,nodes,7,FALSE)</f>
        <v>8</v>
      </c>
    </row>
    <row r="9" spans="1:11" x14ac:dyDescent="0.25">
      <c r="A9" s="4">
        <v>8</v>
      </c>
      <c r="B9" s="4">
        <v>4</v>
      </c>
      <c r="C9" s="4">
        <v>5</v>
      </c>
      <c r="D9" s="4">
        <v>2000</v>
      </c>
      <c r="E9" s="4">
        <f>VLOOKUP(C9,nodes,2,FALSE)-VLOOKUP(B9,nodes,2,FALSE)</f>
        <v>2</v>
      </c>
      <c r="F9" s="4">
        <f>VLOOKUP(C9,nodes,3,FALSE)-VLOOKUP(B9,nodes,3,FALSE)</f>
        <v>0</v>
      </c>
      <c r="G9" s="4">
        <f t="shared" si="0"/>
        <v>2</v>
      </c>
      <c r="H9" s="4">
        <f>VLOOKUP(B9,nodes,6,FALSE)</f>
        <v>3</v>
      </c>
      <c r="I9" s="4">
        <f>VLOOKUP(B9,nodes,7,FALSE)</f>
        <v>4</v>
      </c>
      <c r="J9" s="4">
        <f>VLOOKUP(C9,nodes,6,FALSE)</f>
        <v>5</v>
      </c>
      <c r="K9" s="4">
        <f>VLOOKUP(C9,nodes,7,FALSE)</f>
        <v>6</v>
      </c>
    </row>
    <row r="10" spans="1:11" x14ac:dyDescent="0.25">
      <c r="A10" s="4">
        <v>9</v>
      </c>
      <c r="B10" s="4">
        <v>5</v>
      </c>
      <c r="C10" s="4">
        <v>6</v>
      </c>
      <c r="D10" s="4">
        <v>2000</v>
      </c>
      <c r="E10" s="4">
        <f>VLOOKUP(C10,nodes,2,FALSE)-VLOOKUP(B10,nodes,2,FALSE)</f>
        <v>2</v>
      </c>
      <c r="F10" s="4">
        <f>VLOOKUP(C10,nodes,3,FALSE)-VLOOKUP(B10,nodes,3,FALSE)</f>
        <v>0</v>
      </c>
      <c r="G10" s="4">
        <f t="shared" si="0"/>
        <v>2</v>
      </c>
      <c r="H10" s="4">
        <f>VLOOKUP(B10,nodes,6,FALSE)</f>
        <v>5</v>
      </c>
      <c r="I10" s="4">
        <f>VLOOKUP(B10,nodes,7,FALSE)</f>
        <v>6</v>
      </c>
      <c r="J10" s="4">
        <f>VLOOKUP(C10,nodes,6,FALSE)</f>
        <v>7</v>
      </c>
      <c r="K10" s="4">
        <f>VLOOKUP(C10,nodes,7,FALSE)</f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"/>
  <sheetViews>
    <sheetView tabSelected="1" zoomScale="220" zoomScaleNormal="220" workbookViewId="0">
      <selection activeCell="B7" sqref="B7"/>
    </sheetView>
  </sheetViews>
  <sheetFormatPr defaultRowHeight="15" x14ac:dyDescent="0.25"/>
  <cols>
    <col min="1" max="1" width="10.28515625" bestFit="1" customWidth="1"/>
    <col min="3" max="6" width="9.140625" style="29"/>
    <col min="7" max="7" width="4.7109375" style="29" customWidth="1"/>
    <col min="8" max="8" width="6" style="29" bestFit="1" customWidth="1"/>
    <col min="9" max="9" width="4.7109375" style="29" customWidth="1"/>
    <col min="10" max="10" width="5" style="29" customWidth="1"/>
  </cols>
  <sheetData>
    <row r="1" spans="1:10" x14ac:dyDescent="0.25">
      <c r="A1" s="3" t="s">
        <v>12</v>
      </c>
      <c r="B1">
        <v>1</v>
      </c>
    </row>
    <row r="2" spans="1:10" x14ac:dyDescent="0.25">
      <c r="A2" s="3" t="s">
        <v>18</v>
      </c>
      <c r="B2">
        <f>COUNT(Elements!A:A)</f>
        <v>9</v>
      </c>
    </row>
    <row r="3" spans="1:10" x14ac:dyDescent="0.25">
      <c r="A3" t="s">
        <v>7</v>
      </c>
      <c r="B3">
        <f>VLOOKUP(B1,elements,4,FALSE)</f>
        <v>2000</v>
      </c>
      <c r="D3" s="30"/>
    </row>
    <row r="4" spans="1:10" x14ac:dyDescent="0.25">
      <c r="A4" t="s">
        <v>27</v>
      </c>
      <c r="B4">
        <f>VLOOKUP(el_id,elements,5,FALSE)</f>
        <v>2</v>
      </c>
    </row>
    <row r="5" spans="1:10" x14ac:dyDescent="0.25">
      <c r="A5" t="s">
        <v>28</v>
      </c>
      <c r="B5">
        <f>VLOOKUP(el_id,elements,6,FALSE)</f>
        <v>0</v>
      </c>
    </row>
    <row r="6" spans="1:10" x14ac:dyDescent="0.25">
      <c r="A6" t="s">
        <v>8</v>
      </c>
      <c r="B6">
        <f>VLOOKUP(el_id,elements,7,FALSE)</f>
        <v>2</v>
      </c>
    </row>
    <row r="7" spans="1:10" x14ac:dyDescent="0.25">
      <c r="A7" t="s">
        <v>31</v>
      </c>
      <c r="B7">
        <f>B4/B6</f>
        <v>1</v>
      </c>
      <c r="C7" s="26"/>
      <c r="D7" s="26"/>
      <c r="E7" s="26"/>
      <c r="F7" s="26"/>
      <c r="H7" s="26"/>
      <c r="I7" s="26"/>
      <c r="J7" s="26"/>
    </row>
    <row r="8" spans="1:10" x14ac:dyDescent="0.25">
      <c r="A8" t="s">
        <v>32</v>
      </c>
      <c r="B8">
        <f>B5/B6</f>
        <v>0</v>
      </c>
      <c r="C8" s="26"/>
      <c r="D8" s="26"/>
      <c r="E8" s="26"/>
      <c r="F8" s="26"/>
    </row>
    <row r="9" spans="1:10" x14ac:dyDescent="0.25">
      <c r="C9" s="26"/>
      <c r="D9" s="26"/>
      <c r="E9" s="26"/>
      <c r="F9" s="2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6"/>
  <sheetViews>
    <sheetView zoomScale="190" zoomScaleNormal="190" workbookViewId="0">
      <selection activeCell="D12" sqref="D12"/>
    </sheetView>
  </sheetViews>
  <sheetFormatPr defaultRowHeight="15" x14ac:dyDescent="0.25"/>
  <cols>
    <col min="7" max="7" width="12.42578125" bestFit="1" customWidth="1"/>
    <col min="9" max="11" width="5.5703125" customWidth="1"/>
  </cols>
  <sheetData>
    <row r="1" spans="1:11" ht="15.75" thickBot="1" x14ac:dyDescent="0.3">
      <c r="C1" t="s">
        <v>14</v>
      </c>
      <c r="G1" s="1" t="s">
        <v>15</v>
      </c>
      <c r="H1" s="14" t="s">
        <v>13</v>
      </c>
      <c r="I1" s="1" t="s">
        <v>11</v>
      </c>
      <c r="J1" s="1" t="s">
        <v>16</v>
      </c>
      <c r="K1" s="1" t="s">
        <v>17</v>
      </c>
    </row>
    <row r="2" spans="1:11" x14ac:dyDescent="0.25">
      <c r="A2" s="7">
        <v>168000</v>
      </c>
      <c r="B2" s="19">
        <v>-84000</v>
      </c>
      <c r="C2" s="19">
        <v>0</v>
      </c>
      <c r="D2" s="20">
        <v>-84000</v>
      </c>
      <c r="E2" s="8">
        <v>0</v>
      </c>
      <c r="F2" s="5">
        <v>1</v>
      </c>
      <c r="G2" s="16">
        <f t="array" ref="G2:G4">MMULT(MINVERSE(A2:C4), K2:K4)</f>
        <v>8.9285714285714272E-5</v>
      </c>
      <c r="I2" s="11">
        <v>0</v>
      </c>
      <c r="J2" s="11">
        <v>10</v>
      </c>
      <c r="K2" s="18">
        <f>I2+J2</f>
        <v>10</v>
      </c>
    </row>
    <row r="3" spans="1:11" x14ac:dyDescent="0.25">
      <c r="A3" s="21">
        <v>-84000</v>
      </c>
      <c r="B3" s="22">
        <v>126000</v>
      </c>
      <c r="C3" s="22">
        <v>-42000</v>
      </c>
      <c r="D3" s="23">
        <v>0</v>
      </c>
      <c r="E3" s="24">
        <v>0</v>
      </c>
      <c r="F3" s="13">
        <v>2</v>
      </c>
      <c r="G3" s="17">
        <v>5.9523809523809524E-5</v>
      </c>
      <c r="I3" s="15">
        <v>0</v>
      </c>
      <c r="J3" s="15">
        <v>0</v>
      </c>
      <c r="K3" s="18">
        <v>0</v>
      </c>
    </row>
    <row r="4" spans="1:11" ht="15.75" thickBot="1" x14ac:dyDescent="0.3">
      <c r="A4" s="21">
        <v>0</v>
      </c>
      <c r="B4" s="22">
        <v>-42000</v>
      </c>
      <c r="C4" s="22">
        <v>84000</v>
      </c>
      <c r="D4" s="23">
        <v>0</v>
      </c>
      <c r="E4" s="24">
        <v>-42000</v>
      </c>
      <c r="F4" s="13">
        <v>3</v>
      </c>
      <c r="G4" s="17">
        <v>0</v>
      </c>
      <c r="I4" s="15">
        <v>4.5</v>
      </c>
      <c r="J4" s="15">
        <v>-7</v>
      </c>
      <c r="K4" s="18">
        <f t="shared" ref="K4:K6" si="0">I4+J4</f>
        <v>-2.5</v>
      </c>
    </row>
    <row r="5" spans="1:11" x14ac:dyDescent="0.25">
      <c r="A5" s="25">
        <v>-84000</v>
      </c>
      <c r="B5" s="26">
        <v>0</v>
      </c>
      <c r="C5" s="26">
        <v>0</v>
      </c>
      <c r="D5" s="7">
        <v>84000</v>
      </c>
      <c r="E5" s="24">
        <v>0</v>
      </c>
      <c r="F5" s="13">
        <v>4</v>
      </c>
      <c r="G5" s="15">
        <v>0</v>
      </c>
      <c r="I5" s="15">
        <v>0</v>
      </c>
      <c r="J5" s="15">
        <f t="array" ref="J5:J6">MMULT(A5:C6,G2:G4)-I5:I6</f>
        <v>-7.4999999999999991</v>
      </c>
      <c r="K5" s="28">
        <f t="shared" si="0"/>
        <v>-7.4999999999999991</v>
      </c>
    </row>
    <row r="6" spans="1:11" ht="15.75" thickBot="1" x14ac:dyDescent="0.3">
      <c r="A6" s="9">
        <v>0</v>
      </c>
      <c r="B6" s="27">
        <v>0</v>
      </c>
      <c r="C6" s="27">
        <v>-42000</v>
      </c>
      <c r="D6" s="27">
        <v>0</v>
      </c>
      <c r="E6" s="10">
        <v>42000</v>
      </c>
      <c r="F6" s="6">
        <v>5</v>
      </c>
      <c r="G6" s="12">
        <v>0</v>
      </c>
      <c r="I6" s="12">
        <v>4.5</v>
      </c>
      <c r="J6" s="12">
        <v>-4.5</v>
      </c>
      <c r="K6" s="28">
        <f t="shared" si="0"/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O">
                <anchor moveWithCells="1" sizeWithCells="1">
                  <from>
                    <xdr:col>2</xdr:col>
                    <xdr:colOff>485775</xdr:colOff>
                    <xdr:row>8</xdr:row>
                    <xdr:rowOff>47625</xdr:rowOff>
                  </from>
                  <to>
                    <xdr:col>4</xdr:col>
                    <xdr:colOff>47625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P13" sqref="P13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Nodes</vt:lpstr>
      <vt:lpstr>Elements</vt:lpstr>
      <vt:lpstr>Ke</vt:lpstr>
      <vt:lpstr>Ks</vt:lpstr>
      <vt:lpstr>Sheet1</vt:lpstr>
      <vt:lpstr>code</vt:lpstr>
      <vt:lpstr>disp</vt:lpstr>
      <vt:lpstr>el_count</vt:lpstr>
      <vt:lpstr>el_id</vt:lpstr>
      <vt:lpstr>elements</vt:lpstr>
      <vt:lpstr>KElement</vt:lpstr>
      <vt:lpstr>KSystem</vt:lpstr>
      <vt:lpstr>nodes</vt:lpstr>
      <vt:lpstr>qElement</vt:lpstr>
      <vt:lpstr>qSystem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macro</dc:creator>
  <cp:lastModifiedBy>macro</cp:lastModifiedBy>
  <dcterms:created xsi:type="dcterms:W3CDTF">2019-10-31T08:25:32Z</dcterms:created>
  <dcterms:modified xsi:type="dcterms:W3CDTF">2019-11-18T13:24:43Z</dcterms:modified>
</cp:coreProperties>
</file>