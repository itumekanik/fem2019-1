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fem2019-1\"/>
    </mc:Choice>
  </mc:AlternateContent>
  <bookViews>
    <workbookView xWindow="0" yWindow="0" windowWidth="20490" windowHeight="7620"/>
  </bookViews>
  <sheets>
    <sheet name="Nodes" sheetId="1" r:id="rId1"/>
    <sheet name="Elements" sheetId="2" r:id="rId2"/>
    <sheet name="Ke" sheetId="3" r:id="rId3"/>
    <sheet name="Ks" sheetId="4" r:id="rId4"/>
  </sheets>
  <definedNames>
    <definedName name="code">Ke!$E$20:$J$20</definedName>
    <definedName name="disp">Ks!$Q$2:$R$13</definedName>
    <definedName name="el_count">Ke!$B$2</definedName>
    <definedName name="el_id">Ke!$B$1</definedName>
    <definedName name="EL_IDS">Elements!$A$2:$A$10</definedName>
    <definedName name="elements">Elements!$A:$N</definedName>
    <definedName name="KElement">Ke!$E$21:$J$24</definedName>
    <definedName name="KSystem">Ks!$B$2:$P$16</definedName>
    <definedName name="nodes">Nodes!$A:$L</definedName>
    <definedName name="qElement">Ke!$K$11:$K$12</definedName>
    <definedName name="qSystem">Ks!#REF!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R2" i="4" a="1"/>
  <c r="R2" i="4" s="1"/>
  <c r="J20" i="3"/>
  <c r="D26" i="3" s="1"/>
  <c r="I20" i="3"/>
  <c r="D25" i="3" s="1"/>
  <c r="H20" i="3"/>
  <c r="D24" i="3" s="1"/>
  <c r="G20" i="3"/>
  <c r="D23" i="3" s="1"/>
  <c r="F20" i="3"/>
  <c r="D22" i="3" s="1"/>
  <c r="E20" i="3"/>
  <c r="D21" i="3" s="1"/>
  <c r="B6" i="3"/>
  <c r="B3" i="3"/>
  <c r="F3" i="2"/>
  <c r="I3" i="2"/>
  <c r="J3" i="2"/>
  <c r="K3" i="2"/>
  <c r="L3" i="2"/>
  <c r="M3" i="2"/>
  <c r="N3" i="2"/>
  <c r="I4" i="2"/>
  <c r="J4" i="2"/>
  <c r="K4" i="2"/>
  <c r="L4" i="2"/>
  <c r="M4" i="2"/>
  <c r="N4" i="2"/>
  <c r="I5" i="2"/>
  <c r="J5" i="2"/>
  <c r="K5" i="2"/>
  <c r="L5" i="2"/>
  <c r="M5" i="2"/>
  <c r="N5" i="2"/>
  <c r="I6" i="2"/>
  <c r="J6" i="2"/>
  <c r="K6" i="2"/>
  <c r="L6" i="2"/>
  <c r="M6" i="2"/>
  <c r="N6" i="2"/>
  <c r="I7" i="2"/>
  <c r="J7" i="2"/>
  <c r="K7" i="2"/>
  <c r="L7" i="2"/>
  <c r="M7" i="2"/>
  <c r="N7" i="2"/>
  <c r="I8" i="2"/>
  <c r="J8" i="2"/>
  <c r="K8" i="2"/>
  <c r="L8" i="2"/>
  <c r="M8" i="2"/>
  <c r="N8" i="2"/>
  <c r="I9" i="2"/>
  <c r="J9" i="2"/>
  <c r="K9" i="2"/>
  <c r="L9" i="2"/>
  <c r="M9" i="2"/>
  <c r="N9" i="2"/>
  <c r="I10" i="2"/>
  <c r="J10" i="2"/>
  <c r="K10" i="2"/>
  <c r="L10" i="2"/>
  <c r="M10" i="2"/>
  <c r="N10" i="2"/>
  <c r="N2" i="2"/>
  <c r="M2" i="2"/>
  <c r="L2" i="2"/>
  <c r="K2" i="2"/>
  <c r="J2" i="2"/>
  <c r="I2" i="2"/>
  <c r="G3" i="2"/>
  <c r="G4" i="2"/>
  <c r="G5" i="2"/>
  <c r="G6" i="2"/>
  <c r="G7" i="2"/>
  <c r="G8" i="2"/>
  <c r="G9" i="2"/>
  <c r="G10" i="2"/>
  <c r="G2" i="2"/>
  <c r="R5" i="4" l="1"/>
  <c r="R4" i="4"/>
  <c r="R7" i="4"/>
  <c r="K23" i="3" s="1"/>
  <c r="R3" i="4"/>
  <c r="R6" i="4"/>
  <c r="B2" i="3"/>
  <c r="S8" i="4" l="1" a="1"/>
  <c r="S8" i="4" s="1"/>
  <c r="K26" i="3"/>
  <c r="K25" i="3"/>
  <c r="K24" i="3"/>
  <c r="K22" i="3"/>
  <c r="F4" i="2"/>
  <c r="F5" i="2"/>
  <c r="F6" i="2"/>
  <c r="F7" i="2"/>
  <c r="F8" i="2"/>
  <c r="F9" i="2"/>
  <c r="F10" i="2"/>
  <c r="F2" i="2"/>
  <c r="B5" i="3" s="1"/>
  <c r="E3" i="2"/>
  <c r="E4" i="2"/>
  <c r="E5" i="2"/>
  <c r="E6" i="2"/>
  <c r="H6" i="2" s="1"/>
  <c r="E7" i="2"/>
  <c r="E8" i="2"/>
  <c r="E9" i="2"/>
  <c r="E10" i="2"/>
  <c r="H10" i="2" s="1"/>
  <c r="E2" i="2"/>
  <c r="S13" i="4" l="1"/>
  <c r="S12" i="4"/>
  <c r="S15" i="4"/>
  <c r="S14" i="4"/>
  <c r="S11" i="4"/>
  <c r="S16" i="4"/>
  <c r="S9" i="4"/>
  <c r="S10" i="4"/>
  <c r="H9" i="2"/>
  <c r="H5" i="2"/>
  <c r="H4" i="2"/>
  <c r="H8" i="2"/>
  <c r="H7" i="2"/>
  <c r="H3" i="2"/>
  <c r="H2" i="2"/>
  <c r="B4" i="3"/>
  <c r="K21" i="3"/>
  <c r="B10" i="3" l="1"/>
  <c r="G2" i="3" s="1"/>
  <c r="J5" i="3" s="1"/>
  <c r="E11" i="3"/>
  <c r="B8" i="3"/>
  <c r="E2" i="3" s="1"/>
  <c r="H5" i="3" s="1"/>
  <c r="B9" i="3"/>
  <c r="F2" i="3" s="1"/>
  <c r="I5" i="3" s="1"/>
  <c r="K11" i="3" l="1" a="1"/>
  <c r="K12" i="3" s="1"/>
  <c r="H14" i="3"/>
  <c r="H11" i="3"/>
  <c r="E14" i="3" s="1"/>
  <c r="K11" i="3" l="1"/>
  <c r="K15" i="3"/>
  <c r="K13" i="3"/>
  <c r="K14" i="3"/>
  <c r="K16" i="3"/>
  <c r="E21" i="3" a="1"/>
  <c r="N11" i="3" l="1" a="1"/>
  <c r="N16" i="3" s="1"/>
  <c r="E21" i="3"/>
  <c r="H25" i="3"/>
  <c r="J22" i="3"/>
  <c r="E26" i="3"/>
  <c r="G23" i="3"/>
  <c r="H26" i="3"/>
  <c r="J23" i="3"/>
  <c r="F21" i="3"/>
  <c r="G24" i="3"/>
  <c r="I21" i="3"/>
  <c r="J24" i="3"/>
  <c r="F22" i="3"/>
  <c r="G25" i="3"/>
  <c r="I22" i="3"/>
  <c r="J25" i="3"/>
  <c r="F23" i="3"/>
  <c r="G26" i="3"/>
  <c r="I23" i="3"/>
  <c r="J26" i="3"/>
  <c r="F24" i="3"/>
  <c r="H21" i="3"/>
  <c r="I24" i="3"/>
  <c r="E22" i="3"/>
  <c r="F25" i="3"/>
  <c r="H22" i="3"/>
  <c r="I25" i="3"/>
  <c r="E23" i="3"/>
  <c r="F26" i="3"/>
  <c r="H23" i="3"/>
  <c r="I26" i="3"/>
  <c r="E24" i="3"/>
  <c r="G21" i="3"/>
  <c r="H24" i="3"/>
  <c r="J21" i="3"/>
  <c r="E25" i="3"/>
  <c r="G22" i="3"/>
  <c r="N14" i="3" l="1"/>
  <c r="N12" i="3"/>
  <c r="N15" i="3"/>
  <c r="N11" i="3"/>
  <c r="N13" i="3"/>
</calcChain>
</file>

<file path=xl/sharedStrings.xml><?xml version="1.0" encoding="utf-8"?>
<sst xmlns="http://schemas.openxmlformats.org/spreadsheetml/2006/main" count="46" uniqueCount="40">
  <si>
    <t>ID</t>
  </si>
  <si>
    <t>X</t>
  </si>
  <si>
    <t>rx</t>
  </si>
  <si>
    <t>ux</t>
  </si>
  <si>
    <t>Px</t>
  </si>
  <si>
    <t>na</t>
  </si>
  <si>
    <t>nb</t>
  </si>
  <si>
    <t>EA</t>
  </si>
  <si>
    <t>L</t>
  </si>
  <si>
    <t>c1</t>
  </si>
  <si>
    <t>c2</t>
  </si>
  <si>
    <t>EL_ID:</t>
  </si>
  <si>
    <t>P</t>
  </si>
  <si>
    <t>EL_COUNT</t>
  </si>
  <si>
    <t>Y</t>
  </si>
  <si>
    <t>ry</t>
  </si>
  <si>
    <t>uy</t>
  </si>
  <si>
    <t>Py</t>
  </si>
  <si>
    <t>Lx</t>
  </si>
  <si>
    <t>Ly</t>
  </si>
  <si>
    <t>c3</t>
  </si>
  <si>
    <t>c4</t>
  </si>
  <si>
    <t>T</t>
  </si>
  <si>
    <t>Klocal</t>
  </si>
  <si>
    <t>Kglob</t>
  </si>
  <si>
    <t>u</t>
  </si>
  <si>
    <t>Z</t>
  </si>
  <si>
    <t>rz</t>
  </si>
  <si>
    <t>uz</t>
  </si>
  <si>
    <t>Pz</t>
  </si>
  <si>
    <t>Lz</t>
  </si>
  <si>
    <t>c5</t>
  </si>
  <si>
    <t>c6</t>
  </si>
  <si>
    <t>nx</t>
  </si>
  <si>
    <t>ny</t>
  </si>
  <si>
    <t>nz</t>
  </si>
  <si>
    <t>Qlocal</t>
  </si>
  <si>
    <t>uLocal</t>
  </si>
  <si>
    <t>uGlob</t>
  </si>
  <si>
    <t>&lt;= Axial force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</si>
</sst>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8" xfId="0" applyBorder="1"/>
    <xf numFmtId="0" fontId="0" fillId="0" borderId="5" xfId="0" applyBorder="1" applyAlignment="1">
      <alignment horizontal="center"/>
    </xf>
    <xf numFmtId="0" fontId="0" fillId="2" borderId="1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49" fontId="0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quotePrefix="1" applyBorder="1"/>
    <xf numFmtId="0" fontId="0" fillId="0" borderId="0" xfId="0" applyFill="1" applyBorder="1"/>
    <xf numFmtId="0" fontId="0" fillId="0" borderId="0" xfId="0" quotePrefix="1"/>
    <xf numFmtId="0" fontId="0" fillId="0" borderId="5" xfId="0" applyFill="1" applyBorder="1"/>
    <xf numFmtId="0" fontId="0" fillId="0" borderId="2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8" xfId="0" applyFill="1" applyBorder="1"/>
    <xf numFmtId="0" fontId="0" fillId="0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16</xdr:row>
          <xdr:rowOff>47625</xdr:rowOff>
        </xdr:from>
        <xdr:to>
          <xdr:col>8</xdr:col>
          <xdr:colOff>19050</xdr:colOff>
          <xdr:row>17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tabSelected="1" zoomScale="115" zoomScaleNormal="115" workbookViewId="0">
      <selection activeCell="J5" sqref="J5"/>
    </sheetView>
  </sheetViews>
  <sheetFormatPr defaultRowHeight="15" x14ac:dyDescent="0.25"/>
  <cols>
    <col min="1" max="16384" width="9.140625" style="1"/>
  </cols>
  <sheetData>
    <row r="1" spans="1:13" s="2" customFormat="1" x14ac:dyDescent="0.25">
      <c r="A1" s="2" t="s">
        <v>0</v>
      </c>
      <c r="B1" s="2" t="s">
        <v>1</v>
      </c>
      <c r="C1" s="2" t="s">
        <v>14</v>
      </c>
      <c r="D1" s="2" t="s">
        <v>26</v>
      </c>
      <c r="E1" s="2" t="s">
        <v>2</v>
      </c>
      <c r="F1" s="2" t="s">
        <v>15</v>
      </c>
      <c r="G1" s="2" t="s">
        <v>27</v>
      </c>
      <c r="H1" s="2" t="s">
        <v>3</v>
      </c>
      <c r="I1" s="2" t="s">
        <v>16</v>
      </c>
      <c r="J1" s="2" t="s">
        <v>28</v>
      </c>
      <c r="K1" s="2" t="s">
        <v>4</v>
      </c>
      <c r="L1" s="2" t="s">
        <v>17</v>
      </c>
      <c r="M1" s="2" t="s">
        <v>29</v>
      </c>
    </row>
    <row r="2" spans="1:13" x14ac:dyDescent="0.25">
      <c r="A2" s="22">
        <v>1</v>
      </c>
      <c r="B2">
        <v>-1.5</v>
      </c>
      <c r="C2">
        <v>0</v>
      </c>
      <c r="D2">
        <v>0</v>
      </c>
      <c r="E2" s="1">
        <v>1</v>
      </c>
      <c r="F2" s="1">
        <v>1</v>
      </c>
      <c r="G2" s="1">
        <v>1</v>
      </c>
      <c r="H2" s="1">
        <v>7</v>
      </c>
      <c r="I2" s="1">
        <v>8</v>
      </c>
      <c r="J2" s="1">
        <v>9</v>
      </c>
    </row>
    <row r="3" spans="1:13" x14ac:dyDescent="0.25">
      <c r="A3" s="22">
        <v>2</v>
      </c>
      <c r="B3">
        <v>1.5</v>
      </c>
      <c r="C3">
        <v>0</v>
      </c>
      <c r="D3">
        <v>0</v>
      </c>
      <c r="E3" s="1">
        <v>1</v>
      </c>
      <c r="F3" s="1">
        <v>1</v>
      </c>
      <c r="G3" s="1">
        <v>1</v>
      </c>
      <c r="H3" s="1">
        <v>10</v>
      </c>
      <c r="I3" s="1">
        <v>11</v>
      </c>
      <c r="J3" s="1">
        <v>12</v>
      </c>
    </row>
    <row r="4" spans="1:13" x14ac:dyDescent="0.25">
      <c r="A4" s="22">
        <v>3</v>
      </c>
      <c r="B4">
        <v>0</v>
      </c>
      <c r="C4">
        <v>1.5</v>
      </c>
      <c r="D4">
        <v>3</v>
      </c>
      <c r="E4" s="1">
        <v>0</v>
      </c>
      <c r="F4" s="1">
        <v>0</v>
      </c>
      <c r="G4" s="1">
        <v>0</v>
      </c>
      <c r="H4" s="1">
        <v>1</v>
      </c>
      <c r="I4" s="1">
        <v>2</v>
      </c>
      <c r="J4" s="1">
        <v>3</v>
      </c>
    </row>
    <row r="5" spans="1:13" x14ac:dyDescent="0.25">
      <c r="A5" s="22">
        <v>6</v>
      </c>
      <c r="B5">
        <v>-1.5</v>
      </c>
      <c r="C5">
        <v>3</v>
      </c>
      <c r="D5">
        <v>0</v>
      </c>
      <c r="E5" s="1">
        <v>0</v>
      </c>
      <c r="F5" s="1">
        <v>0</v>
      </c>
      <c r="G5" s="1">
        <v>0</v>
      </c>
      <c r="H5" s="1">
        <v>4</v>
      </c>
      <c r="I5" s="1">
        <v>5</v>
      </c>
      <c r="J5" s="1">
        <v>6</v>
      </c>
      <c r="M5" s="1">
        <v>-10</v>
      </c>
    </row>
    <row r="6" spans="1:13" x14ac:dyDescent="0.25">
      <c r="A6" s="22">
        <v>7</v>
      </c>
      <c r="B6">
        <v>1.5</v>
      </c>
      <c r="C6">
        <v>3</v>
      </c>
      <c r="D6">
        <v>0</v>
      </c>
      <c r="E6" s="1">
        <v>1</v>
      </c>
      <c r="F6" s="1">
        <v>1</v>
      </c>
      <c r="G6" s="1">
        <v>1</v>
      </c>
      <c r="H6" s="1">
        <v>13</v>
      </c>
      <c r="I6" s="1">
        <v>14</v>
      </c>
      <c r="J6" s="1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zoomScale="130" zoomScaleNormal="130" workbookViewId="0">
      <selection activeCell="A5" sqref="A5"/>
    </sheetView>
  </sheetViews>
  <sheetFormatPr defaultRowHeight="15" x14ac:dyDescent="0.25"/>
  <cols>
    <col min="1" max="3" width="6.28515625" style="4" customWidth="1"/>
    <col min="4" max="7" width="8.140625" style="4" customWidth="1"/>
    <col min="8" max="8" width="7.85546875" style="4" customWidth="1"/>
    <col min="9" max="10" width="6.28515625" style="4" customWidth="1"/>
    <col min="11" max="16384" width="9.140625" style="4"/>
  </cols>
  <sheetData>
    <row r="1" spans="1:14" s="2" customFormat="1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18</v>
      </c>
      <c r="F1" s="2" t="s">
        <v>19</v>
      </c>
      <c r="G1" s="2" t="s">
        <v>30</v>
      </c>
      <c r="H1" s="2" t="s">
        <v>8</v>
      </c>
      <c r="I1" s="2" t="s">
        <v>9</v>
      </c>
      <c r="J1" s="2" t="s">
        <v>10</v>
      </c>
      <c r="K1" s="2" t="s">
        <v>20</v>
      </c>
      <c r="L1" s="2" t="s">
        <v>21</v>
      </c>
      <c r="M1" s="2" t="s">
        <v>31</v>
      </c>
      <c r="N1" s="2" t="s">
        <v>32</v>
      </c>
    </row>
    <row r="2" spans="1:14" x14ac:dyDescent="0.25">
      <c r="A2" s="22">
        <v>1</v>
      </c>
      <c r="B2" s="22">
        <v>1</v>
      </c>
      <c r="C2" s="22">
        <v>2</v>
      </c>
      <c r="D2" s="4">
        <v>2000</v>
      </c>
      <c r="E2" s="4">
        <f t="shared" ref="E2:E10" si="0">VLOOKUP(C2,nodes,2,FALSE)-VLOOKUP(B2,nodes,2,FALSE)</f>
        <v>3</v>
      </c>
      <c r="F2" s="4">
        <f t="shared" ref="F2:F10" si="1">VLOOKUP(C2,nodes,3,FALSE)-VLOOKUP(B2,nodes,3,FALSE)</f>
        <v>0</v>
      </c>
      <c r="G2" s="21">
        <f>VLOOKUP(C2,nodes,4,FALSE)-VLOOKUP(B2,nodes,4,FALSE)</f>
        <v>0</v>
      </c>
      <c r="H2" s="4">
        <f>SQRT(E2^2+F2^2+G2^2)</f>
        <v>3</v>
      </c>
      <c r="I2" s="4">
        <f>VLOOKUP(B2,nodes,8,FALSE)</f>
        <v>7</v>
      </c>
      <c r="J2" s="4">
        <f>VLOOKUP(B2,nodes,9,FALSE)</f>
        <v>8</v>
      </c>
      <c r="K2" s="4">
        <f>VLOOKUP(B2,nodes,10,FALSE)</f>
        <v>9</v>
      </c>
      <c r="L2" s="4">
        <f>VLOOKUP(C2,nodes,8,FALSE)</f>
        <v>10</v>
      </c>
      <c r="M2" s="4">
        <f>VLOOKUP(C2,nodes,9,FALSE)</f>
        <v>11</v>
      </c>
      <c r="N2" s="4">
        <f>VLOOKUP(C2,nodes,10,FALSE)</f>
        <v>12</v>
      </c>
    </row>
    <row r="3" spans="1:14" x14ac:dyDescent="0.25">
      <c r="A3" s="22">
        <v>2</v>
      </c>
      <c r="B3" s="22">
        <v>1</v>
      </c>
      <c r="C3" s="22">
        <v>3</v>
      </c>
      <c r="D3" s="4">
        <v>2000</v>
      </c>
      <c r="E3" s="4">
        <f t="shared" si="0"/>
        <v>1.5</v>
      </c>
      <c r="F3" s="4">
        <f>VLOOKUP(C3,nodes,3,FALSE)-VLOOKUP(B3,nodes,3,FALSE)</f>
        <v>1.5</v>
      </c>
      <c r="G3" s="21">
        <f>VLOOKUP(C3,nodes,4,FALSE)-VLOOKUP(B3,nodes,4,FALSE)</f>
        <v>3</v>
      </c>
      <c r="H3" s="4">
        <f t="shared" ref="H3:H10" si="2">SQRT(E3^2+F3^2+G3^2)</f>
        <v>3.6742346141747673</v>
      </c>
      <c r="I3" s="4">
        <f>VLOOKUP(B3,nodes,8,FALSE)</f>
        <v>7</v>
      </c>
      <c r="J3" s="4">
        <f>VLOOKUP(B3,nodes,9,FALSE)</f>
        <v>8</v>
      </c>
      <c r="K3" s="4">
        <f>VLOOKUP(B3,nodes,10,FALSE)</f>
        <v>9</v>
      </c>
      <c r="L3" s="4">
        <f>VLOOKUP(C3,nodes,8,FALSE)</f>
        <v>1</v>
      </c>
      <c r="M3" s="4">
        <f>VLOOKUP(C3,nodes,9,FALSE)</f>
        <v>2</v>
      </c>
      <c r="N3" s="4">
        <f>VLOOKUP(C3,nodes,10,FALSE)</f>
        <v>3</v>
      </c>
    </row>
    <row r="4" spans="1:14" x14ac:dyDescent="0.25">
      <c r="A4" s="22">
        <v>3</v>
      </c>
      <c r="B4" s="22">
        <v>2</v>
      </c>
      <c r="C4" s="22">
        <v>3</v>
      </c>
      <c r="D4" s="4">
        <v>2000</v>
      </c>
      <c r="E4" s="4">
        <f t="shared" si="0"/>
        <v>-1.5</v>
      </c>
      <c r="F4" s="4">
        <f t="shared" si="1"/>
        <v>1.5</v>
      </c>
      <c r="G4" s="21">
        <f>VLOOKUP(C4,nodes,4,FALSE)-VLOOKUP(B4,nodes,4,FALSE)</f>
        <v>3</v>
      </c>
      <c r="H4" s="4">
        <f t="shared" si="2"/>
        <v>3.6742346141747673</v>
      </c>
      <c r="I4" s="4">
        <f>VLOOKUP(B4,nodes,8,FALSE)</f>
        <v>10</v>
      </c>
      <c r="J4" s="4">
        <f>VLOOKUP(B4,nodes,9,FALSE)</f>
        <v>11</v>
      </c>
      <c r="K4" s="4">
        <f>VLOOKUP(B4,nodes,10,FALSE)</f>
        <v>12</v>
      </c>
      <c r="L4" s="4">
        <f>VLOOKUP(C4,nodes,8,FALSE)</f>
        <v>1</v>
      </c>
      <c r="M4" s="4">
        <f>VLOOKUP(C4,nodes,9,FALSE)</f>
        <v>2</v>
      </c>
      <c r="N4" s="4">
        <f>VLOOKUP(C4,nodes,10,FALSE)</f>
        <v>3</v>
      </c>
    </row>
    <row r="5" spans="1:14" x14ac:dyDescent="0.25">
      <c r="A5" s="22">
        <v>10</v>
      </c>
      <c r="B5" s="22">
        <v>6</v>
      </c>
      <c r="C5" s="22">
        <v>7</v>
      </c>
      <c r="D5" s="4">
        <v>2000</v>
      </c>
      <c r="E5" s="4">
        <f t="shared" si="0"/>
        <v>3</v>
      </c>
      <c r="F5" s="4">
        <f t="shared" si="1"/>
        <v>0</v>
      </c>
      <c r="G5" s="21">
        <f>VLOOKUP(C5,nodes,4,FALSE)-VLOOKUP(B5,nodes,4,FALSE)</f>
        <v>0</v>
      </c>
      <c r="H5" s="4">
        <f t="shared" si="2"/>
        <v>3</v>
      </c>
      <c r="I5" s="4">
        <f>VLOOKUP(B5,nodes,8,FALSE)</f>
        <v>4</v>
      </c>
      <c r="J5" s="4">
        <f>VLOOKUP(B5,nodes,9,FALSE)</f>
        <v>5</v>
      </c>
      <c r="K5" s="4">
        <f>VLOOKUP(B5,nodes,10,FALSE)</f>
        <v>6</v>
      </c>
      <c r="L5" s="4">
        <f>VLOOKUP(C5,nodes,8,FALSE)</f>
        <v>13</v>
      </c>
      <c r="M5" s="4">
        <f>VLOOKUP(C5,nodes,9,FALSE)</f>
        <v>14</v>
      </c>
      <c r="N5" s="4">
        <f>VLOOKUP(C5,nodes,10,FALSE)</f>
        <v>15</v>
      </c>
    </row>
    <row r="6" spans="1:14" x14ac:dyDescent="0.25">
      <c r="A6" s="22">
        <v>11</v>
      </c>
      <c r="B6" s="22">
        <v>6</v>
      </c>
      <c r="C6" s="22">
        <v>3</v>
      </c>
      <c r="D6" s="4">
        <v>2000</v>
      </c>
      <c r="E6" s="4">
        <f t="shared" si="0"/>
        <v>1.5</v>
      </c>
      <c r="F6" s="4">
        <f t="shared" si="1"/>
        <v>-1.5</v>
      </c>
      <c r="G6" s="21">
        <f>VLOOKUP(C6,nodes,4,FALSE)-VLOOKUP(B6,nodes,4,FALSE)</f>
        <v>3</v>
      </c>
      <c r="H6" s="4">
        <f t="shared" si="2"/>
        <v>3.6742346141747673</v>
      </c>
      <c r="I6" s="4">
        <f>VLOOKUP(B6,nodes,8,FALSE)</f>
        <v>4</v>
      </c>
      <c r="J6" s="4">
        <f>VLOOKUP(B6,nodes,9,FALSE)</f>
        <v>5</v>
      </c>
      <c r="K6" s="4">
        <f>VLOOKUP(B6,nodes,10,FALSE)</f>
        <v>6</v>
      </c>
      <c r="L6" s="4">
        <f>VLOOKUP(C6,nodes,8,FALSE)</f>
        <v>1</v>
      </c>
      <c r="M6" s="4">
        <f>VLOOKUP(C6,nodes,9,FALSE)</f>
        <v>2</v>
      </c>
      <c r="N6" s="4">
        <f>VLOOKUP(C6,nodes,10,FALSE)</f>
        <v>3</v>
      </c>
    </row>
    <row r="7" spans="1:14" x14ac:dyDescent="0.25">
      <c r="A7" s="22">
        <v>12</v>
      </c>
      <c r="B7" s="22">
        <v>7</v>
      </c>
      <c r="C7" s="22">
        <v>3</v>
      </c>
      <c r="D7" s="4">
        <v>2000</v>
      </c>
      <c r="E7" s="4">
        <f t="shared" si="0"/>
        <v>-1.5</v>
      </c>
      <c r="F7" s="4">
        <f t="shared" si="1"/>
        <v>-1.5</v>
      </c>
      <c r="G7" s="21">
        <f>VLOOKUP(C7,nodes,4,FALSE)-VLOOKUP(B7,nodes,4,FALSE)</f>
        <v>3</v>
      </c>
      <c r="H7" s="4">
        <f t="shared" si="2"/>
        <v>3.6742346141747673</v>
      </c>
      <c r="I7" s="4">
        <f>VLOOKUP(B7,nodes,8,FALSE)</f>
        <v>13</v>
      </c>
      <c r="J7" s="4">
        <f>VLOOKUP(B7,nodes,9,FALSE)</f>
        <v>14</v>
      </c>
      <c r="K7" s="4">
        <f>VLOOKUP(B7,nodes,10,FALSE)</f>
        <v>15</v>
      </c>
      <c r="L7" s="4">
        <f>VLOOKUP(C7,nodes,8,FALSE)</f>
        <v>1</v>
      </c>
      <c r="M7" s="4">
        <f>VLOOKUP(C7,nodes,9,FALSE)</f>
        <v>2</v>
      </c>
      <c r="N7" s="4">
        <f>VLOOKUP(C7,nodes,10,FALSE)</f>
        <v>3</v>
      </c>
    </row>
    <row r="8" spans="1:14" x14ac:dyDescent="0.25">
      <c r="A8" s="22">
        <v>13</v>
      </c>
      <c r="B8" s="22">
        <v>6</v>
      </c>
      <c r="C8" s="22">
        <v>1</v>
      </c>
      <c r="D8" s="4">
        <v>2000</v>
      </c>
      <c r="E8" s="4">
        <f t="shared" si="0"/>
        <v>0</v>
      </c>
      <c r="F8" s="4">
        <f t="shared" si="1"/>
        <v>-3</v>
      </c>
      <c r="G8" s="21">
        <f>VLOOKUP(C8,nodes,4,FALSE)-VLOOKUP(B8,nodes,4,FALSE)</f>
        <v>0</v>
      </c>
      <c r="H8" s="4">
        <f t="shared" si="2"/>
        <v>3</v>
      </c>
      <c r="I8" s="4">
        <f>VLOOKUP(B8,nodes,8,FALSE)</f>
        <v>4</v>
      </c>
      <c r="J8" s="4">
        <f>VLOOKUP(B8,nodes,9,FALSE)</f>
        <v>5</v>
      </c>
      <c r="K8" s="4">
        <f>VLOOKUP(B8,nodes,10,FALSE)</f>
        <v>6</v>
      </c>
      <c r="L8" s="4">
        <f>VLOOKUP(C8,nodes,8,FALSE)</f>
        <v>7</v>
      </c>
      <c r="M8" s="4">
        <f>VLOOKUP(C8,nodes,9,FALSE)</f>
        <v>8</v>
      </c>
      <c r="N8" s="4">
        <f>VLOOKUP(C8,nodes,10,FALSE)</f>
        <v>9</v>
      </c>
    </row>
    <row r="9" spans="1:14" x14ac:dyDescent="0.25">
      <c r="A9" s="22">
        <v>14</v>
      </c>
      <c r="B9" s="22">
        <v>7</v>
      </c>
      <c r="C9" s="22">
        <v>2</v>
      </c>
      <c r="D9" s="4">
        <v>2000</v>
      </c>
      <c r="E9" s="4">
        <f t="shared" si="0"/>
        <v>0</v>
      </c>
      <c r="F9" s="4">
        <f t="shared" si="1"/>
        <v>-3</v>
      </c>
      <c r="G9" s="21">
        <f>VLOOKUP(C9,nodes,4,FALSE)-VLOOKUP(B9,nodes,4,FALSE)</f>
        <v>0</v>
      </c>
      <c r="H9" s="4">
        <f t="shared" si="2"/>
        <v>3</v>
      </c>
      <c r="I9" s="4">
        <f>VLOOKUP(B9,nodes,8,FALSE)</f>
        <v>13</v>
      </c>
      <c r="J9" s="4">
        <f>VLOOKUP(B9,nodes,9,FALSE)</f>
        <v>14</v>
      </c>
      <c r="K9" s="4">
        <f>VLOOKUP(B9,nodes,10,FALSE)</f>
        <v>15</v>
      </c>
      <c r="L9" s="4">
        <f>VLOOKUP(C9,nodes,8,FALSE)</f>
        <v>10</v>
      </c>
      <c r="M9" s="4">
        <f>VLOOKUP(C9,nodes,9,FALSE)</f>
        <v>11</v>
      </c>
      <c r="N9" s="4">
        <f>VLOOKUP(C9,nodes,10,FALSE)</f>
        <v>12</v>
      </c>
    </row>
    <row r="10" spans="1:14" x14ac:dyDescent="0.25">
      <c r="A10" s="22">
        <v>15</v>
      </c>
      <c r="B10" s="22">
        <v>6</v>
      </c>
      <c r="C10" s="22">
        <v>2</v>
      </c>
      <c r="D10" s="4">
        <v>2000</v>
      </c>
      <c r="E10" s="4">
        <f t="shared" si="0"/>
        <v>3</v>
      </c>
      <c r="F10" s="4">
        <f t="shared" si="1"/>
        <v>-3</v>
      </c>
      <c r="G10" s="21">
        <f>VLOOKUP(C10,nodes,4,FALSE)-VLOOKUP(B10,nodes,4,FALSE)</f>
        <v>0</v>
      </c>
      <c r="H10" s="4">
        <f t="shared" si="2"/>
        <v>4.2426406871192848</v>
      </c>
      <c r="I10" s="4">
        <f>VLOOKUP(B10,nodes,8,FALSE)</f>
        <v>4</v>
      </c>
      <c r="J10" s="4">
        <f>VLOOKUP(B10,nodes,9,FALSE)</f>
        <v>5</v>
      </c>
      <c r="K10" s="4">
        <f>VLOOKUP(B10,nodes,10,FALSE)</f>
        <v>6</v>
      </c>
      <c r="L10" s="4">
        <f>VLOOKUP(C10,nodes,8,FALSE)</f>
        <v>10</v>
      </c>
      <c r="M10" s="4">
        <f>VLOOKUP(C10,nodes,9,FALSE)</f>
        <v>11</v>
      </c>
      <c r="N10" s="4">
        <f>VLOOKUP(C10,nodes,10,FALSE)</f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"/>
  <sheetViews>
    <sheetView zoomScaleNormal="100" workbookViewId="0">
      <selection activeCell="B1" sqref="B1"/>
    </sheetView>
  </sheetViews>
  <sheetFormatPr defaultRowHeight="15" x14ac:dyDescent="0.25"/>
  <cols>
    <col min="1" max="1" width="10.28515625" bestFit="1" customWidth="1"/>
    <col min="6" max="9" width="9.140625" style="10"/>
    <col min="10" max="10" width="11.28515625" style="10" customWidth="1"/>
    <col min="11" max="11" width="13.7109375" style="10" bestFit="1" customWidth="1"/>
    <col min="12" max="12" width="4.7109375" style="10" customWidth="1"/>
    <col min="13" max="13" width="5" style="10" customWidth="1"/>
  </cols>
  <sheetData>
    <row r="1" spans="1:15" ht="15.75" thickBot="1" x14ac:dyDescent="0.3">
      <c r="A1" s="3" t="s">
        <v>11</v>
      </c>
      <c r="B1">
        <v>15</v>
      </c>
      <c r="H1" s="10" t="s">
        <v>22</v>
      </c>
    </row>
    <row r="2" spans="1:15" x14ac:dyDescent="0.25">
      <c r="A2" s="3" t="s">
        <v>13</v>
      </c>
      <c r="B2">
        <f>COUNT(Elements!A:A)</f>
        <v>9</v>
      </c>
      <c r="E2" s="11">
        <f>B8</f>
        <v>0.70710678118654757</v>
      </c>
      <c r="F2" s="12">
        <f>B9</f>
        <v>-0.70710678118654757</v>
      </c>
      <c r="G2" s="12">
        <f>B10</f>
        <v>0</v>
      </c>
      <c r="H2" s="12">
        <v>0</v>
      </c>
      <c r="I2" s="12">
        <v>0</v>
      </c>
      <c r="J2" s="5">
        <v>0</v>
      </c>
    </row>
    <row r="3" spans="1:15" x14ac:dyDescent="0.25">
      <c r="A3" t="s">
        <v>7</v>
      </c>
      <c r="B3">
        <f>VLOOKUP(B1,elements,4,FALSE)</f>
        <v>2000</v>
      </c>
      <c r="E3" s="13">
        <v>0</v>
      </c>
      <c r="F3" s="10">
        <v>0</v>
      </c>
      <c r="G3" s="23">
        <v>0</v>
      </c>
      <c r="H3" s="10">
        <v>0</v>
      </c>
      <c r="I3" s="10">
        <v>0</v>
      </c>
      <c r="J3" s="7">
        <v>0</v>
      </c>
    </row>
    <row r="4" spans="1:15" x14ac:dyDescent="0.25">
      <c r="A4" t="s">
        <v>18</v>
      </c>
      <c r="B4">
        <f>VLOOKUP(el_id,elements,5,FALSE)</f>
        <v>3</v>
      </c>
      <c r="E4" s="13">
        <v>0</v>
      </c>
      <c r="F4" s="10">
        <v>0</v>
      </c>
      <c r="G4" s="10">
        <v>0</v>
      </c>
      <c r="H4" s="24">
        <v>0</v>
      </c>
      <c r="I4" s="24">
        <v>0</v>
      </c>
      <c r="J4" s="7">
        <v>0</v>
      </c>
    </row>
    <row r="5" spans="1:15" x14ac:dyDescent="0.25">
      <c r="A5" t="s">
        <v>19</v>
      </c>
      <c r="B5">
        <f>VLOOKUP(el_id,elements,6,FALSE)</f>
        <v>-3</v>
      </c>
      <c r="E5" s="13">
        <v>0</v>
      </c>
      <c r="F5" s="10">
        <v>0</v>
      </c>
      <c r="G5" s="10">
        <v>0</v>
      </c>
      <c r="H5" s="10">
        <f>E2</f>
        <v>0.70710678118654757</v>
      </c>
      <c r="I5" s="10">
        <f>F2</f>
        <v>-0.70710678118654757</v>
      </c>
      <c r="J5" s="7">
        <f>G2</f>
        <v>0</v>
      </c>
    </row>
    <row r="6" spans="1:15" x14ac:dyDescent="0.25">
      <c r="A6" t="s">
        <v>30</v>
      </c>
      <c r="B6">
        <f>VLOOKUP(el_id,elements,7,FALSE)</f>
        <v>0</v>
      </c>
      <c r="E6" s="13">
        <v>0</v>
      </c>
      <c r="F6" s="24">
        <v>0</v>
      </c>
      <c r="G6" s="10">
        <v>0</v>
      </c>
      <c r="H6" s="24">
        <v>0</v>
      </c>
      <c r="I6" s="24">
        <v>0</v>
      </c>
      <c r="J6" s="7">
        <v>0</v>
      </c>
    </row>
    <row r="7" spans="1:15" ht="15.75" thickBot="1" x14ac:dyDescent="0.3">
      <c r="A7" t="s">
        <v>8</v>
      </c>
      <c r="B7">
        <f>VLOOKUP(el_id,elements,8,FALSE)</f>
        <v>4.2426406871192848</v>
      </c>
      <c r="E7" s="14">
        <v>0</v>
      </c>
      <c r="F7" s="15">
        <v>0</v>
      </c>
      <c r="G7" s="15">
        <v>0</v>
      </c>
      <c r="H7" s="15">
        <v>0</v>
      </c>
      <c r="I7" s="15">
        <v>0</v>
      </c>
      <c r="J7" s="6">
        <v>0</v>
      </c>
    </row>
    <row r="8" spans="1:15" x14ac:dyDescent="0.25">
      <c r="A8" t="s">
        <v>33</v>
      </c>
      <c r="B8">
        <f>B4/B7</f>
        <v>0.70710678118654757</v>
      </c>
    </row>
    <row r="9" spans="1:15" x14ac:dyDescent="0.25">
      <c r="A9" t="s">
        <v>34</v>
      </c>
      <c r="B9">
        <f>B5/B7</f>
        <v>-0.70710678118654757</v>
      </c>
    </row>
    <row r="10" spans="1:15" ht="15.75" thickBot="1" x14ac:dyDescent="0.3">
      <c r="A10" t="s">
        <v>35</v>
      </c>
      <c r="B10">
        <f>B6/B7</f>
        <v>0</v>
      </c>
      <c r="F10" s="9"/>
      <c r="G10" s="9"/>
      <c r="H10" s="9" t="s">
        <v>23</v>
      </c>
      <c r="I10" s="9"/>
      <c r="K10" s="9" t="s">
        <v>37</v>
      </c>
      <c r="L10" s="9"/>
      <c r="M10" s="9"/>
      <c r="N10" t="s">
        <v>36</v>
      </c>
    </row>
    <row r="11" spans="1:15" x14ac:dyDescent="0.25">
      <c r="E11" s="11">
        <f>B3/B7</f>
        <v>471.4045207910317</v>
      </c>
      <c r="F11" s="16">
        <v>0</v>
      </c>
      <c r="G11" s="16">
        <v>0</v>
      </c>
      <c r="H11" s="16">
        <f>-E11</f>
        <v>-471.4045207910317</v>
      </c>
      <c r="I11" s="16">
        <v>0</v>
      </c>
      <c r="J11" s="5">
        <v>0</v>
      </c>
      <c r="K11" s="10">
        <f t="array" ref="K11:K16">MMULT(E2:J7,K21:K26)</f>
        <v>6.2132034355964266E-3</v>
      </c>
      <c r="N11">
        <f t="array" ref="N11:N16">MMULT(E11:J16,K11:K16)</f>
        <v>2.9289321881345254</v>
      </c>
    </row>
    <row r="12" spans="1:15" x14ac:dyDescent="0.25">
      <c r="E12" s="13">
        <v>0</v>
      </c>
      <c r="F12" s="9">
        <v>0</v>
      </c>
      <c r="G12" s="9">
        <v>0</v>
      </c>
      <c r="H12" s="9">
        <v>0</v>
      </c>
      <c r="I12" s="9">
        <v>0</v>
      </c>
      <c r="J12" s="7">
        <v>0</v>
      </c>
      <c r="K12" s="10">
        <v>0</v>
      </c>
      <c r="N12">
        <v>0</v>
      </c>
    </row>
    <row r="13" spans="1:15" x14ac:dyDescent="0.25">
      <c r="E13" s="13">
        <v>0</v>
      </c>
      <c r="F13" s="10">
        <v>0</v>
      </c>
      <c r="G13" s="10">
        <v>0</v>
      </c>
      <c r="H13" s="8">
        <v>0</v>
      </c>
      <c r="I13" s="10">
        <v>0</v>
      </c>
      <c r="J13" s="7">
        <v>0</v>
      </c>
      <c r="K13" s="10">
        <v>0</v>
      </c>
      <c r="N13">
        <v>0</v>
      </c>
    </row>
    <row r="14" spans="1:15" x14ac:dyDescent="0.25">
      <c r="E14" s="13">
        <f>H11</f>
        <v>-471.4045207910317</v>
      </c>
      <c r="F14" s="8">
        <v>0</v>
      </c>
      <c r="G14" s="8">
        <v>0</v>
      </c>
      <c r="H14" s="10">
        <f>E11</f>
        <v>471.4045207910317</v>
      </c>
      <c r="I14" s="8">
        <v>0</v>
      </c>
      <c r="J14" s="7">
        <v>0</v>
      </c>
      <c r="K14" s="10">
        <v>0</v>
      </c>
      <c r="N14">
        <v>-2.9289321881345254</v>
      </c>
      <c r="O14" s="25" t="s">
        <v>39</v>
      </c>
    </row>
    <row r="15" spans="1:15" x14ac:dyDescent="0.25">
      <c r="E15" s="13">
        <v>0</v>
      </c>
      <c r="F15" s="8">
        <v>0</v>
      </c>
      <c r="G15" s="8">
        <v>0</v>
      </c>
      <c r="H15" s="10">
        <v>0</v>
      </c>
      <c r="I15" s="8">
        <v>0</v>
      </c>
      <c r="J15" s="7">
        <v>0</v>
      </c>
      <c r="K15" s="10">
        <v>0</v>
      </c>
      <c r="N15">
        <v>0</v>
      </c>
    </row>
    <row r="16" spans="1:15" ht="15.75" thickBot="1" x14ac:dyDescent="0.3">
      <c r="E16" s="14">
        <v>0</v>
      </c>
      <c r="F16" s="15">
        <v>0</v>
      </c>
      <c r="G16" s="15">
        <v>0</v>
      </c>
      <c r="H16" s="15">
        <v>0</v>
      </c>
      <c r="I16" s="15">
        <v>0</v>
      </c>
      <c r="J16" s="6">
        <v>0</v>
      </c>
      <c r="K16" s="10">
        <v>0</v>
      </c>
      <c r="N16">
        <v>0</v>
      </c>
    </row>
    <row r="19" spans="4:11" ht="15.75" thickBot="1" x14ac:dyDescent="0.3">
      <c r="H19" s="10" t="s">
        <v>24</v>
      </c>
      <c r="K19" s="10" t="s">
        <v>38</v>
      </c>
    </row>
    <row r="20" spans="4:11" ht="15.75" thickBot="1" x14ac:dyDescent="0.3">
      <c r="E20" s="11">
        <f>VLOOKUP(el_id,elements,9,FALSE)</f>
        <v>4</v>
      </c>
      <c r="F20" s="12">
        <f>VLOOKUP(el_id,elements,10,FALSE)</f>
        <v>5</v>
      </c>
      <c r="G20" s="12">
        <f>VLOOKUP(el_id,elements,11,FALSE)</f>
        <v>6</v>
      </c>
      <c r="H20" s="12">
        <f>VLOOKUP(el_id,elements,12,FALSE)</f>
        <v>10</v>
      </c>
      <c r="I20" s="12">
        <f>VLOOKUP(el_id,elements,13,FALSE)</f>
        <v>11</v>
      </c>
      <c r="J20" s="5">
        <f>VLOOKUP(el_id,elements,14,FALSE)</f>
        <v>12</v>
      </c>
    </row>
    <row r="21" spans="4:11" x14ac:dyDescent="0.25">
      <c r="D21" s="11">
        <f>E20</f>
        <v>4</v>
      </c>
      <c r="E21" s="11">
        <f t="array" ref="E21:J26">MMULT(TRANSPOSE(E2:J7),MMULT(E11:J16,E2:J7))</f>
        <v>235.70226039551588</v>
      </c>
      <c r="F21" s="12">
        <v>-235.70226039551588</v>
      </c>
      <c r="G21" s="12">
        <v>0</v>
      </c>
      <c r="H21" s="12">
        <v>-235.70226039551588</v>
      </c>
      <c r="I21" s="12">
        <v>235.70226039551588</v>
      </c>
      <c r="J21" s="5">
        <v>0</v>
      </c>
      <c r="K21" s="10">
        <f>VLOOKUP(D21,disp,2,FALSE)</f>
        <v>4.3933982822017877E-3</v>
      </c>
    </row>
    <row r="22" spans="4:11" x14ac:dyDescent="0.25">
      <c r="D22" s="13">
        <f>F20</f>
        <v>5</v>
      </c>
      <c r="E22" s="13">
        <v>-235.70226039551588</v>
      </c>
      <c r="F22" s="10">
        <v>235.70226039551588</v>
      </c>
      <c r="G22" s="10">
        <v>0</v>
      </c>
      <c r="H22" s="10">
        <v>235.70226039551588</v>
      </c>
      <c r="I22" s="10">
        <v>-235.70226039551588</v>
      </c>
      <c r="J22" s="7">
        <v>0</v>
      </c>
      <c r="K22" s="10">
        <f>VLOOKUP(D22,disp,2,FALSE)</f>
        <v>-4.3933982822017877E-3</v>
      </c>
    </row>
    <row r="23" spans="4:11" x14ac:dyDescent="0.25">
      <c r="D23" s="13">
        <f>G20</f>
        <v>6</v>
      </c>
      <c r="E23" s="13">
        <v>0</v>
      </c>
      <c r="F23" s="10">
        <v>0</v>
      </c>
      <c r="G23" s="10">
        <v>0</v>
      </c>
      <c r="H23" s="10">
        <v>0</v>
      </c>
      <c r="I23" s="10">
        <v>0</v>
      </c>
      <c r="J23" s="7">
        <v>0</v>
      </c>
      <c r="K23" s="10">
        <f>VLOOKUP(D23,disp,2,FALSE)</f>
        <v>-0.11462043670744476</v>
      </c>
    </row>
    <row r="24" spans="4:11" x14ac:dyDescent="0.25">
      <c r="D24" s="13">
        <f>H20</f>
        <v>10</v>
      </c>
      <c r="E24" s="13">
        <v>-235.70226039551588</v>
      </c>
      <c r="F24" s="10">
        <v>235.70226039551588</v>
      </c>
      <c r="G24" s="10">
        <v>0</v>
      </c>
      <c r="H24" s="10">
        <v>235.70226039551588</v>
      </c>
      <c r="I24" s="10">
        <v>-235.70226039551588</v>
      </c>
      <c r="J24" s="7">
        <v>0</v>
      </c>
      <c r="K24" s="10">
        <f>VLOOKUP(D24,disp,2,FALSE)</f>
        <v>0</v>
      </c>
    </row>
    <row r="25" spans="4:11" x14ac:dyDescent="0.25">
      <c r="D25" s="13">
        <f>I20</f>
        <v>11</v>
      </c>
      <c r="E25" s="13">
        <v>235.70226039551588</v>
      </c>
      <c r="F25" s="10">
        <v>-235.70226039551588</v>
      </c>
      <c r="G25" s="10">
        <v>0</v>
      </c>
      <c r="H25" s="10">
        <v>-235.70226039551588</v>
      </c>
      <c r="I25" s="10">
        <v>235.70226039551588</v>
      </c>
      <c r="J25" s="7">
        <v>0</v>
      </c>
      <c r="K25" s="10">
        <f>VLOOKUP(D25,disp,2,FALSE)</f>
        <v>0</v>
      </c>
    </row>
    <row r="26" spans="4:11" ht="15.75" thickBot="1" x14ac:dyDescent="0.3">
      <c r="D26" s="14">
        <f>J20</f>
        <v>12</v>
      </c>
      <c r="E26" s="14">
        <v>0</v>
      </c>
      <c r="F26" s="15">
        <v>0</v>
      </c>
      <c r="G26" s="15">
        <v>0</v>
      </c>
      <c r="H26" s="15">
        <v>0</v>
      </c>
      <c r="I26" s="15">
        <v>0</v>
      </c>
      <c r="J26" s="6">
        <v>0</v>
      </c>
      <c r="K26" s="10">
        <f>VLOOKUP(D26,disp,2,FALSE)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16"/>
  <sheetViews>
    <sheetView zoomScaleNormal="100" workbookViewId="0">
      <selection activeCell="J23" sqref="J23"/>
    </sheetView>
  </sheetViews>
  <sheetFormatPr defaultRowHeight="15" x14ac:dyDescent="0.25"/>
  <cols>
    <col min="2" max="16" width="6.85546875" customWidth="1"/>
    <col min="18" max="19" width="9.140625" style="1"/>
  </cols>
  <sheetData>
    <row r="1" spans="1:19" ht="15.75" thickBot="1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R1" s="1" t="s">
        <v>25</v>
      </c>
      <c r="S1" s="1" t="s">
        <v>12</v>
      </c>
    </row>
    <row r="2" spans="1:19" x14ac:dyDescent="0.25">
      <c r="A2">
        <v>1</v>
      </c>
      <c r="B2" s="17">
        <v>362.88736930121161</v>
      </c>
      <c r="C2" s="18">
        <v>0</v>
      </c>
      <c r="D2" s="18">
        <v>0</v>
      </c>
      <c r="E2" s="18">
        <v>-90.721842325302902</v>
      </c>
      <c r="F2" s="18">
        <v>90.721842325302902</v>
      </c>
      <c r="G2" s="18">
        <v>-181.4436846506058</v>
      </c>
      <c r="H2" s="26">
        <v>-90.721842325302902</v>
      </c>
      <c r="I2" s="26">
        <v>-90.721842325302902</v>
      </c>
      <c r="J2" s="26">
        <v>-181.4436846506058</v>
      </c>
      <c r="K2" s="26">
        <v>-90.721842325302902</v>
      </c>
      <c r="L2" s="26">
        <v>90.721842325302902</v>
      </c>
      <c r="M2" s="26">
        <v>181.4436846506058</v>
      </c>
      <c r="N2" s="26">
        <v>-90.721842325302902</v>
      </c>
      <c r="O2" s="26">
        <v>-90.721842325302902</v>
      </c>
      <c r="P2" s="27">
        <v>181.4436846506058</v>
      </c>
      <c r="Q2">
        <v>1</v>
      </c>
      <c r="R2" s="1">
        <f t="array" ref="R2:R7">MMULT(MINVERSE(B2:G7),S2:S7)</f>
        <v>-5.511351921262149E-2</v>
      </c>
      <c r="S2" s="1">
        <v>0</v>
      </c>
    </row>
    <row r="3" spans="1:19" x14ac:dyDescent="0.25">
      <c r="A3">
        <v>2</v>
      </c>
      <c r="B3" s="19">
        <v>0</v>
      </c>
      <c r="C3" s="20">
        <v>362.88736930121161</v>
      </c>
      <c r="D3" s="20">
        <v>0</v>
      </c>
      <c r="E3" s="20">
        <v>90.721842325302902</v>
      </c>
      <c r="F3" s="20">
        <v>-90.721842325302902</v>
      </c>
      <c r="G3" s="20">
        <v>181.4436846506058</v>
      </c>
      <c r="H3" s="24">
        <v>-90.721842325302902</v>
      </c>
      <c r="I3" s="24">
        <v>-90.721842325302902</v>
      </c>
      <c r="J3" s="24">
        <v>-181.4436846506058</v>
      </c>
      <c r="K3" s="24">
        <v>90.721842325302902</v>
      </c>
      <c r="L3" s="24">
        <v>-90.721842325302902</v>
      </c>
      <c r="M3" s="24">
        <v>-181.4436846506058</v>
      </c>
      <c r="N3" s="24">
        <v>-90.721842325302902</v>
      </c>
      <c r="O3" s="24">
        <v>-90.721842325302902</v>
      </c>
      <c r="P3" s="29">
        <v>181.4436846506058</v>
      </c>
      <c r="Q3">
        <v>2</v>
      </c>
      <c r="R3" s="1">
        <v>5.511351921262149E-2</v>
      </c>
      <c r="S3" s="1">
        <v>0</v>
      </c>
    </row>
    <row r="4" spans="1:19" x14ac:dyDescent="0.25">
      <c r="A4">
        <v>3</v>
      </c>
      <c r="B4" s="19">
        <v>0</v>
      </c>
      <c r="C4" s="20">
        <v>0</v>
      </c>
      <c r="D4" s="20">
        <v>1451.5494772048464</v>
      </c>
      <c r="E4" s="20">
        <v>-181.4436846506058</v>
      </c>
      <c r="F4" s="20">
        <v>181.4436846506058</v>
      </c>
      <c r="G4" s="20">
        <v>-362.88736930121161</v>
      </c>
      <c r="H4" s="24">
        <v>-181.4436846506058</v>
      </c>
      <c r="I4" s="24">
        <v>-181.4436846506058</v>
      </c>
      <c r="J4" s="24">
        <v>-362.88736930121161</v>
      </c>
      <c r="K4" s="24">
        <v>181.4436846506058</v>
      </c>
      <c r="L4" s="24">
        <v>-181.4436846506058</v>
      </c>
      <c r="M4" s="24">
        <v>-362.88736930121161</v>
      </c>
      <c r="N4" s="24">
        <v>181.4436846506058</v>
      </c>
      <c r="O4" s="24">
        <v>181.4436846506058</v>
      </c>
      <c r="P4" s="29">
        <v>-362.88736930121161</v>
      </c>
      <c r="Q4">
        <v>3</v>
      </c>
      <c r="R4" s="1">
        <v>-2.7556759606310745E-2</v>
      </c>
      <c r="S4" s="1">
        <v>0</v>
      </c>
    </row>
    <row r="5" spans="1:19" x14ac:dyDescent="0.25">
      <c r="A5">
        <v>4</v>
      </c>
      <c r="B5" s="19">
        <v>-90.721842325302902</v>
      </c>
      <c r="C5" s="20">
        <v>90.721842325302902</v>
      </c>
      <c r="D5" s="20">
        <v>-181.4436846506058</v>
      </c>
      <c r="E5" s="20">
        <v>993.09076938748535</v>
      </c>
      <c r="F5" s="20">
        <v>-326.42410272081878</v>
      </c>
      <c r="G5" s="20">
        <v>181.4436846506058</v>
      </c>
      <c r="H5" s="24">
        <v>0</v>
      </c>
      <c r="I5" s="24">
        <v>0</v>
      </c>
      <c r="J5" s="24">
        <v>0</v>
      </c>
      <c r="K5" s="24">
        <v>-235.70226039551588</v>
      </c>
      <c r="L5" s="24">
        <v>235.70226039551588</v>
      </c>
      <c r="M5" s="24">
        <v>0</v>
      </c>
      <c r="N5" s="24">
        <v>-666.66666666666663</v>
      </c>
      <c r="O5" s="24">
        <v>0</v>
      </c>
      <c r="P5" s="29">
        <v>0</v>
      </c>
      <c r="Q5">
        <v>4</v>
      </c>
      <c r="R5" s="1">
        <v>4.3933982822017877E-3</v>
      </c>
      <c r="S5" s="1">
        <v>0</v>
      </c>
    </row>
    <row r="6" spans="1:19" x14ac:dyDescent="0.25">
      <c r="A6">
        <v>5</v>
      </c>
      <c r="B6" s="19">
        <v>90.721842325302902</v>
      </c>
      <c r="C6" s="20">
        <v>-90.721842325302902</v>
      </c>
      <c r="D6" s="20">
        <v>181.4436846506058</v>
      </c>
      <c r="E6" s="20">
        <v>-326.42410272081878</v>
      </c>
      <c r="F6" s="20">
        <v>993.09076938748535</v>
      </c>
      <c r="G6" s="20">
        <v>-181.4436846506058</v>
      </c>
      <c r="H6" s="24">
        <v>0</v>
      </c>
      <c r="I6" s="24">
        <v>-666.66666666666663</v>
      </c>
      <c r="J6" s="24">
        <v>0</v>
      </c>
      <c r="K6" s="24">
        <v>235.70226039551588</v>
      </c>
      <c r="L6" s="24">
        <v>-235.70226039551588</v>
      </c>
      <c r="M6" s="24">
        <v>0</v>
      </c>
      <c r="N6" s="24">
        <v>0</v>
      </c>
      <c r="O6" s="24">
        <v>0</v>
      </c>
      <c r="P6" s="29">
        <v>0</v>
      </c>
      <c r="Q6">
        <v>5</v>
      </c>
      <c r="R6" s="1">
        <v>-4.3933982822017877E-3</v>
      </c>
      <c r="S6" s="1">
        <v>0</v>
      </c>
    </row>
    <row r="7" spans="1:19" x14ac:dyDescent="0.25">
      <c r="A7">
        <v>6</v>
      </c>
      <c r="B7" s="19">
        <v>-181.4436846506058</v>
      </c>
      <c r="C7" s="20">
        <v>181.4436846506058</v>
      </c>
      <c r="D7" s="20">
        <v>-362.88736930121161</v>
      </c>
      <c r="E7" s="20">
        <v>181.4436846506058</v>
      </c>
      <c r="F7" s="20">
        <v>-181.4436846506058</v>
      </c>
      <c r="G7" s="20">
        <v>362.88736930121161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9">
        <v>0</v>
      </c>
      <c r="Q7">
        <v>6</v>
      </c>
      <c r="R7" s="1">
        <v>-0.11462043670744476</v>
      </c>
      <c r="S7" s="1">
        <v>-10</v>
      </c>
    </row>
    <row r="8" spans="1:19" x14ac:dyDescent="0.25">
      <c r="A8">
        <v>7</v>
      </c>
      <c r="B8" s="28">
        <v>-90.721842325302902</v>
      </c>
      <c r="C8" s="24">
        <v>-90.721842325302902</v>
      </c>
      <c r="D8" s="24">
        <v>-181.4436846506058</v>
      </c>
      <c r="E8" s="24">
        <v>0</v>
      </c>
      <c r="F8" s="24">
        <v>0</v>
      </c>
      <c r="G8" s="24">
        <v>0</v>
      </c>
      <c r="H8" s="24">
        <v>757.3885089919695</v>
      </c>
      <c r="I8" s="24">
        <v>90.721842325302902</v>
      </c>
      <c r="J8" s="24">
        <v>181.4436846506058</v>
      </c>
      <c r="K8" s="24">
        <v>-666.66666666666663</v>
      </c>
      <c r="L8" s="24">
        <v>0</v>
      </c>
      <c r="M8" s="24">
        <v>0</v>
      </c>
      <c r="N8" s="24">
        <v>0</v>
      </c>
      <c r="O8" s="24">
        <v>0</v>
      </c>
      <c r="P8" s="29">
        <v>0</v>
      </c>
      <c r="Q8">
        <v>7</v>
      </c>
      <c r="R8" s="1">
        <v>0</v>
      </c>
      <c r="S8" s="1">
        <f t="array" ref="S8:S16">MMULT(B8:G16,R2:R7)</f>
        <v>4.9999999999999991</v>
      </c>
    </row>
    <row r="9" spans="1:19" x14ac:dyDescent="0.25">
      <c r="A9">
        <v>8</v>
      </c>
      <c r="B9" s="28">
        <v>-90.721842325302902</v>
      </c>
      <c r="C9" s="24">
        <v>-90.721842325302902</v>
      </c>
      <c r="D9" s="24">
        <v>-181.4436846506058</v>
      </c>
      <c r="E9" s="24">
        <v>0</v>
      </c>
      <c r="F9" s="24">
        <v>-666.66666666666663</v>
      </c>
      <c r="G9" s="24">
        <v>0</v>
      </c>
      <c r="H9" s="24">
        <v>90.721842325302902</v>
      </c>
      <c r="I9" s="24">
        <v>757.3885089919695</v>
      </c>
      <c r="J9" s="24">
        <v>181.4436846506058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9">
        <v>0</v>
      </c>
      <c r="Q9">
        <v>8</v>
      </c>
      <c r="R9" s="1">
        <v>0</v>
      </c>
      <c r="S9" s="1">
        <v>7.9289321881345245</v>
      </c>
    </row>
    <row r="10" spans="1:19" x14ac:dyDescent="0.25">
      <c r="A10">
        <v>9</v>
      </c>
      <c r="B10" s="28">
        <v>-181.4436846506058</v>
      </c>
      <c r="C10" s="24">
        <v>-181.4436846506058</v>
      </c>
      <c r="D10" s="24">
        <v>-362.88736930121161</v>
      </c>
      <c r="E10" s="24">
        <v>0</v>
      </c>
      <c r="F10" s="24">
        <v>0</v>
      </c>
      <c r="G10" s="24">
        <v>0</v>
      </c>
      <c r="H10" s="24">
        <v>181.4436846506058</v>
      </c>
      <c r="I10" s="24">
        <v>181.4436846506058</v>
      </c>
      <c r="J10" s="24">
        <v>362.88736930121161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9">
        <v>0</v>
      </c>
      <c r="Q10">
        <v>9</v>
      </c>
      <c r="R10" s="1">
        <v>0</v>
      </c>
      <c r="S10" s="1">
        <v>9.9999999999999982</v>
      </c>
    </row>
    <row r="11" spans="1:19" x14ac:dyDescent="0.25">
      <c r="A11">
        <v>10</v>
      </c>
      <c r="B11" s="28">
        <v>-90.721842325302902</v>
      </c>
      <c r="C11" s="24">
        <v>90.721842325302902</v>
      </c>
      <c r="D11" s="24">
        <v>181.4436846506058</v>
      </c>
      <c r="E11" s="24">
        <v>-235.70226039551588</v>
      </c>
      <c r="F11" s="24">
        <v>235.70226039551588</v>
      </c>
      <c r="G11" s="24">
        <v>0</v>
      </c>
      <c r="H11" s="24">
        <v>-666.66666666666663</v>
      </c>
      <c r="I11" s="24">
        <v>0</v>
      </c>
      <c r="J11" s="24">
        <v>0</v>
      </c>
      <c r="K11" s="24">
        <v>993.09076938748535</v>
      </c>
      <c r="L11" s="24">
        <v>-326.42410272081878</v>
      </c>
      <c r="M11" s="24">
        <v>-181.4436846506058</v>
      </c>
      <c r="N11" s="24">
        <v>0</v>
      </c>
      <c r="O11" s="24">
        <v>0</v>
      </c>
      <c r="P11" s="29">
        <v>0</v>
      </c>
      <c r="Q11">
        <v>10</v>
      </c>
      <c r="R11" s="1">
        <v>0</v>
      </c>
      <c r="S11" s="1">
        <v>2.9289321881345236</v>
      </c>
    </row>
    <row r="12" spans="1:19" x14ac:dyDescent="0.25">
      <c r="A12">
        <v>11</v>
      </c>
      <c r="B12" s="28">
        <v>90.721842325302902</v>
      </c>
      <c r="C12" s="24">
        <v>-90.721842325302902</v>
      </c>
      <c r="D12" s="24">
        <v>-181.4436846506058</v>
      </c>
      <c r="E12" s="24">
        <v>235.70226039551588</v>
      </c>
      <c r="F12" s="24">
        <v>-235.70226039551588</v>
      </c>
      <c r="G12" s="24">
        <v>0</v>
      </c>
      <c r="H12" s="24">
        <v>0</v>
      </c>
      <c r="I12" s="24">
        <v>0</v>
      </c>
      <c r="J12" s="24">
        <v>0</v>
      </c>
      <c r="K12" s="24">
        <v>-326.42410272081878</v>
      </c>
      <c r="L12" s="24">
        <v>993.09076938748535</v>
      </c>
      <c r="M12" s="24">
        <v>181.4436846506058</v>
      </c>
      <c r="N12" s="24">
        <v>0</v>
      </c>
      <c r="O12" s="24">
        <v>-666.66666666666663</v>
      </c>
      <c r="P12" s="29">
        <v>0</v>
      </c>
      <c r="Q12">
        <v>11</v>
      </c>
      <c r="R12" s="1">
        <v>0</v>
      </c>
      <c r="S12" s="1">
        <v>-2.9289321881345236</v>
      </c>
    </row>
    <row r="13" spans="1:19" x14ac:dyDescent="0.25">
      <c r="A13">
        <v>12</v>
      </c>
      <c r="B13" s="28">
        <v>181.4436846506058</v>
      </c>
      <c r="C13" s="24">
        <v>-181.4436846506058</v>
      </c>
      <c r="D13" s="24">
        <v>-362.88736930121161</v>
      </c>
      <c r="E13" s="24">
        <v>0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K13" s="24">
        <v>-181.4436846506058</v>
      </c>
      <c r="L13" s="24">
        <v>181.4436846506058</v>
      </c>
      <c r="M13" s="24">
        <v>362.88736930121161</v>
      </c>
      <c r="N13" s="24">
        <v>0</v>
      </c>
      <c r="O13" s="24">
        <v>0</v>
      </c>
      <c r="P13" s="29">
        <v>0</v>
      </c>
      <c r="Q13">
        <v>12</v>
      </c>
      <c r="R13" s="1">
        <v>0</v>
      </c>
      <c r="S13" s="1">
        <v>-9.9999999999999982</v>
      </c>
    </row>
    <row r="14" spans="1:19" x14ac:dyDescent="0.25">
      <c r="A14">
        <v>13</v>
      </c>
      <c r="B14" s="28">
        <v>-90.721842325302902</v>
      </c>
      <c r="C14" s="24">
        <v>-90.721842325302902</v>
      </c>
      <c r="D14" s="24">
        <v>181.4436846506058</v>
      </c>
      <c r="E14" s="24">
        <v>-666.66666666666663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757.3885089919695</v>
      </c>
      <c r="O14" s="24">
        <v>90.721842325302902</v>
      </c>
      <c r="P14" s="29">
        <v>-181.4436846506058</v>
      </c>
      <c r="Q14">
        <v>13</v>
      </c>
      <c r="R14" s="1">
        <v>0</v>
      </c>
      <c r="S14" s="1">
        <v>-7.9289321881345245</v>
      </c>
    </row>
    <row r="15" spans="1:19" x14ac:dyDescent="0.25">
      <c r="A15">
        <v>14</v>
      </c>
      <c r="B15" s="28">
        <v>-90.721842325302902</v>
      </c>
      <c r="C15" s="24">
        <v>-90.721842325302902</v>
      </c>
      <c r="D15" s="24">
        <v>181.4436846506058</v>
      </c>
      <c r="E15" s="24">
        <v>0</v>
      </c>
      <c r="F15" s="24">
        <v>0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-666.66666666666663</v>
      </c>
      <c r="M15" s="24">
        <v>0</v>
      </c>
      <c r="N15" s="24">
        <v>90.721842325302902</v>
      </c>
      <c r="O15" s="24">
        <v>757.3885089919695</v>
      </c>
      <c r="P15" s="29">
        <v>-181.4436846506058</v>
      </c>
      <c r="Q15">
        <v>14</v>
      </c>
      <c r="R15" s="1">
        <v>0</v>
      </c>
      <c r="S15" s="1">
        <v>-4.9999999999999991</v>
      </c>
    </row>
    <row r="16" spans="1:19" ht="15.75" thickBot="1" x14ac:dyDescent="0.3">
      <c r="A16">
        <v>15</v>
      </c>
      <c r="B16" s="30">
        <v>181.4436846506058</v>
      </c>
      <c r="C16" s="31">
        <v>181.4436846506058</v>
      </c>
      <c r="D16" s="31">
        <v>-362.88736930121161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-181.4436846506058</v>
      </c>
      <c r="O16" s="31">
        <v>-181.4436846506058</v>
      </c>
      <c r="P16" s="32">
        <v>362.88736930121161</v>
      </c>
      <c r="Q16">
        <v>15</v>
      </c>
      <c r="R16" s="1">
        <v>0</v>
      </c>
      <c r="S16" s="1">
        <v>9.9999999999999982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">
                <anchor moveWithCells="1" sizeWithCells="1">
                  <from>
                    <xdr:col>6</xdr:col>
                    <xdr:colOff>19050</xdr:colOff>
                    <xdr:row>16</xdr:row>
                    <xdr:rowOff>47625</xdr:rowOff>
                  </from>
                  <to>
                    <xdr:col>8</xdr:col>
                    <xdr:colOff>19050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Nodes</vt:lpstr>
      <vt:lpstr>Elements</vt:lpstr>
      <vt:lpstr>Ke</vt:lpstr>
      <vt:lpstr>Ks</vt:lpstr>
      <vt:lpstr>code</vt:lpstr>
      <vt:lpstr>disp</vt:lpstr>
      <vt:lpstr>el_count</vt:lpstr>
      <vt:lpstr>el_id</vt:lpstr>
      <vt:lpstr>EL_IDS</vt:lpstr>
      <vt:lpstr>elements</vt:lpstr>
      <vt:lpstr>KElement</vt:lpstr>
      <vt:lpstr>KSystem</vt:lpstr>
      <vt:lpstr>nodes</vt:lpstr>
      <vt:lpstr>qElement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2019-10-31T08:25:32Z</dcterms:created>
  <dcterms:modified xsi:type="dcterms:W3CDTF">2019-11-22T03:25:24Z</dcterms:modified>
</cp:coreProperties>
</file>